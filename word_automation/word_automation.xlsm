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2970" yWindow="1935" windowWidth="23040" windowHeight="13665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Munka3" sheetId="5" r:id="rId5"/>
  </sheets>
  <functionGroups builtInGroupCount="18"/>
  <definedNames>
    <definedName name="SheetNames">Munka3!$A$1:$A$2</definedName>
  </definedNames>
  <calcPr calcId="152511"/>
</workbook>
</file>

<file path=xl/calcChain.xml><?xml version="1.0" encoding="utf-8"?>
<calcChain xmlns="http://schemas.openxmlformats.org/spreadsheetml/2006/main">
  <c r="W2" i="4" l="1"/>
  <c r="W3" i="3"/>
  <c r="W2" i="3"/>
  <c r="B5" i="1"/>
  <c r="B4" i="1"/>
  <c r="B3" i="1"/>
  <c r="B2" i="1"/>
  <c r="B7" i="1" a="1"/>
  <c r="V3" i="3"/>
  <c r="G3" i="3"/>
  <c r="V2" i="3"/>
  <c r="G2" i="3"/>
  <c r="B7" i="1" l="1"/>
</calcChain>
</file>

<file path=xl/sharedStrings.xml><?xml version="1.0" encoding="utf-8"?>
<sst xmlns="http://schemas.openxmlformats.org/spreadsheetml/2006/main" count="107" uniqueCount="82">
  <si>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</si>
  <si>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</si>
  <si>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</si>
  <si>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</si>
  <si>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</si>
  <si>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</si>
  <si>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</si>
  <si>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</si>
  <si>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</si>
  <si>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</si>
  <si>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</si>
  <si>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</si>
  <si>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</si>
  <si>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</si>
  <si>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</si>
  <si>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</si>
  <si>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</si>
  <si>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</si>
  <si>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</si>
  <si>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</si>
  <si>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</si>
  <si>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</si>
  <si>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Tervrajz szám</t>
  </si>
  <si>
    <t>Irányítószám</t>
  </si>
  <si>
    <t>Település</t>
  </si>
  <si>
    <t>Utca, házszám</t>
  </si>
  <si>
    <t>Magán/jogi személy</t>
  </si>
  <si>
    <t>Rendszerhasználó neve</t>
  </si>
  <si>
    <t>Felhasználási hely címe</t>
  </si>
  <si>
    <t>Partnerszám</t>
  </si>
  <si>
    <t>Felhasználási hely azonsító</t>
  </si>
  <si>
    <t>Érintett elszámolási mérő gyári száma:</t>
  </si>
  <si>
    <t>Születési név:</t>
  </si>
  <si>
    <t>Anyja neve:</t>
  </si>
  <si>
    <t>Születési hely, dátum:</t>
  </si>
  <si>
    <t>Személyi igazolvány szám:</t>
  </si>
  <si>
    <t>Felhasználó elérhetősége (tel. / e-mail):</t>
  </si>
  <si>
    <t>Felhasználási helyen rendelkezésre álló teljesítmény: (pl. 3x32A, vagy 1x32 A)</t>
  </si>
  <si>
    <t>Beépített termelői kapacitás kW-ban:</t>
  </si>
  <si>
    <t>Termelői kapacitás csatlakoztatása:</t>
  </si>
  <si>
    <t>Felhasználási helyen alkalmazott érintésvédelmi mód: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</si>
  <si>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</si>
  <si>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</si>
  <si>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</si>
  <si>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</si>
  <si>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</si>
  <si>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</si>
  <si>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</si>
  <si>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</si>
  <si>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</si>
  <si>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</si>
  <si>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</si>
  <si>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476410LA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</si>
  <si>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</si>
  <si>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</si>
  <si>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</si>
  <si>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</si>
  <si>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</si>
  <si>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</si>
  <si>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</si>
  <si>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</si>
  <si>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</si>
  <si>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</si>
  <si>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</si>
  <si>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</si>
  <si>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</si>
  <si>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</si>
  <si>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</si>
  <si>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</si>
  <si>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</si>
  <si>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</si>
  <si>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</si>
  <si>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</si>
  <si>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</si>
  <si>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</si>
  <si>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</si>
  <si>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</si>
  <si>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Magánszemély</t>
  </si>
  <si>
    <t>Jogi személy</t>
  </si>
  <si>
    <t>3-cégnév-2023</t>
  </si>
  <si>
    <t>valami</t>
  </si>
  <si>
    <t>fdgjh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</si>
</sst>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</numFmts>
  <fonts count="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1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0" applyNumberFormat="1"/>
    <xf numFmtId="1" fontId="4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5" fillId="0" borderId="0" xfId="0" applyNumberFormat="1" applyFont="1"/>
    <xf numFmtId="1" fontId="5" fillId="0" borderId="0" xfId="0" applyNumberFormat="1" applyFont="1" applyAlignment="1">
      <alignment horizontal="left"/>
    </xf>
    <xf numFmtId="1" fontId="6" fillId="0" borderId="0" xfId="0" applyNumberFormat="1" applyFont="1" applyAlignment="1">
      <alignment horizontal="left"/>
    </xf>
    <xf numFmtId="0" fontId="0" fillId="0" borderId="1" xfId="0" applyBorder="1"/>
  </cellXfs>
  <cellStyles count="7">
    <cellStyle name="Comma" xfId="4"/>
    <cellStyle name="Comma [0]" xfId="5"/>
    <cellStyle name="Currency" xfId="2"/>
    <cellStyle name="Currency [0]" xfId="3"/>
    <cellStyle name="Normal" xfId="6"/>
    <cellStyle name="Normál" xfId="0" builtinId="0"/>
    <cellStyle name="Percent" xfId="1"/>
  </cellStyles>
  <dxfs count="4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bottom style="medium">
          <color indexed="64"/>
        </bottom>
      </border>
    </dxf>
    <dxf>
      <border outline="0">
        <top style="medium">
          <color indexed="64"/>
        </top>
      </border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B1:W3" totalsRowShown="0" headerRowDxfId="47">
  <autoFilter ref="B1:W3"/>
  <tableColumns count="22">
    <tableColumn id="1" name="Irányítószám" dataDxfId="46"/>
    <tableColumn id="2" name="Település" dataDxfId="45"/>
    <tableColumn id="3" name="Utca, házszám" dataDxfId="44"/>
    <tableColumn id="4" name="Magán/jogi személy" dataDxfId="43"/>
    <tableColumn id="5" name="Rendszerhasználó neve" dataDxfId="42"/>
    <tableColumn id="22" name="Felhasználási hely címe" dataDxfId="41">
      <calculatedColumnFormula>_xlfn.CONCAT(Táblázat1[[#This Row],[Irányítószám]], " ", Táblázat1[[#This Row],[Település]], " ", Táblázat1[[#This Row],[Utca, házszám]])</calculatedColumnFormula>
    </tableColumn>
    <tableColumn id="6" name="Partnerszám" dataDxfId="40"/>
    <tableColumn id="7" name="Felhasználási hely azonsító" dataDxfId="39"/>
    <tableColumn id="8" name="Érintett elszámolási mérő gyári száma:" dataDxfId="38"/>
    <tableColumn id="9" name="Születési név:" dataDxfId="37"/>
    <tableColumn id="10" name="Anyja neve:" dataDxfId="36"/>
    <tableColumn id="11" name="Születési hely, dátum:" dataDxfId="35"/>
    <tableColumn id="12" name="Személyi igazolvány szám:" dataDxfId="34"/>
    <tableColumn id="13" name="Felhasználó elérhetősége (tel. / e-mail):" dataDxfId="33"/>
    <tableColumn id="14" name="Felhasználási helyen rendelkezésre álló teljesítmény: (pl. 3x32A, vagy 1x32 A)" dataDxfId="32"/>
    <tableColumn id="15" name="Beépített termelői kapacitás kW-ban:" dataDxfId="31"/>
    <tableColumn id="16" name="Termelői kapacitás csatlakoztatása:" dataDxfId="30"/>
    <tableColumn id="17" name="Felhasználási helyen alkalmazott érintésvédelmi mód:" dataDxfId="29"/>
    <tableColumn id="18" name="DC oldali villamos teljesítménye" dataDxfId="28"/>
    <tableColumn id="19" name="Inverter" dataDxfId="27"/>
    <tableColumn id="20" name="Levelezési cím" dataDxfId="26">
      <calculatedColumnFormula>_xlfn.CONCAT(Táblázat1[[#This Row],[Irányítószám]]," ",Táblázat1[[#This Row],[Település]]," ",Táblázat1[[#This Row],[Utca, házszám]])</calculatedColumnFormula>
    </tableColumn>
    <tableColumn id="21" name="IKTATÓ" dataDxfId="25">
      <calculatedColumnFormula>CONCATENATE(A2,"-cégnév-",(YEAR(TODAY())))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B1:W2" totalsRowShown="0" dataDxfId="24" headerRowBorderDxfId="22" tableBorderDxfId="23">
  <autoFilter ref="B1:W2"/>
  <tableColumns count="22">
    <tableColumn id="1" name="Irányítószám" dataDxfId="21"/>
    <tableColumn id="2" name="Település" dataDxfId="20"/>
    <tableColumn id="3" name="Utca, házszám" dataDxfId="19"/>
    <tableColumn id="4" name="Magán/jogi személy" dataDxfId="18"/>
    <tableColumn id="5" name="Rendszerhasználó neve" dataDxfId="17"/>
    <tableColumn id="6" name="Partnerszám" dataDxfId="16"/>
    <tableColumn id="7" name="Felhasználási hely azonsító" dataDxfId="15"/>
    <tableColumn id="8" name="Érintett elszámolási mérő gyári száma:" dataDxfId="14"/>
    <tableColumn id="9" name="Jogi személy elnevezése" dataDxfId="13"/>
    <tableColumn id="10" name="Cégjegyzékszám/statisztikai számjel" dataDxfId="12"/>
    <tableColumn id="11" name="Adószám" dataDxfId="11"/>
    <tableColumn id="12" name="Székhely" dataDxfId="10"/>
    <tableColumn id="13" name="Felhasználó elérhetősége (tel. / e-mail):" dataDxfId="9"/>
    <tableColumn id="14" name="Felhasználási helyen rendelkezésre álló teljesítmény: (pl. 3x32A, vagy 1x32 A)" dataDxfId="8"/>
    <tableColumn id="15" name="Beépített termelői kapacitás kW-ban:" dataDxfId="7"/>
    <tableColumn id="16" name="Termelői kapacitás csatlakoztatása:" dataDxfId="6"/>
    <tableColumn id="17" name="Felhasználási helyen alkalmazott érintésvédelmi mód:" dataDxfId="5"/>
    <tableColumn id="18" name="DC oldali villamos teljesítménye" dataDxfId="4"/>
    <tableColumn id="19" name="Inverter" dataDxfId="3"/>
    <tableColumn id="20" name="Levelezési cím" dataDxfId="2"/>
    <tableColumn id="21" name="valami" dataDxfId="1"/>
    <tableColumn id="22" name="IKTATÓ" dataDxfId="0">
      <calculatedColumnFormula>CONCATENATE(A2,"-cégnév-",(YEAR(TODAY())))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7" sqref="B7"/>
    </sheetView>
  </sheetViews>
  <sheetFormatPr defaultColWidth="11" defaultRowHeight="15.75" x14ac:dyDescent="0.25"/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45008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3</v>
      </c>
    </row>
    <row r="5" spans="1:2" x14ac:dyDescent="0.25">
      <c r="A5" t="s">
        <v>20</v>
      </c>
      <c r="B5">
        <f ca="1">DAY(TODAY())</f>
        <v>23</v>
      </c>
    </row>
    <row r="6" spans="1:2" x14ac:dyDescent="0.25">
      <c r="A6" t="s">
        <v>21</v>
      </c>
      <c r="B6" s="5" t="s">
        <v>79</v>
      </c>
    </row>
    <row r="7" spans="1:2" x14ac:dyDescent="0.25">
      <c r="A7" t="s">
        <v>23</v>
      </c>
      <c r="B7" t="str">
        <f t="array" aca="1" ref="B7" ca="1">INDIRECT("'"&amp;INDEX(SheetNames,MATCH(1,COUNTIF(INDIRECT("'"&amp;SheetNames&amp;"'!W:W"),$B$6),0))&amp;"'!B:B")</f>
        <v>Irányítószám</v>
      </c>
    </row>
  </sheetData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"/>
  <sheetViews>
    <sheetView topLeftCell="M1" workbookViewId="0">
      <selection activeCell="W2" sqref="W2"/>
    </sheetView>
  </sheetViews>
  <sheetFormatPr defaultRowHeight="15.75" x14ac:dyDescent="0.25"/>
  <cols>
    <col min="7" max="7" width="13" bestFit="1" customWidth="1"/>
    <col min="8" max="8" width="14.5" bestFit="1" customWidth="1"/>
  </cols>
  <sheetData>
    <row r="1" spans="1:23" ht="13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29</v>
      </c>
      <c r="I1" s="4" t="s">
        <v>30</v>
      </c>
      <c r="J1" s="4" t="s">
        <v>31</v>
      </c>
      <c r="K1" s="4" t="s">
        <v>32</v>
      </c>
      <c r="L1" s="4" t="s">
        <v>33</v>
      </c>
      <c r="M1" s="4" t="s">
        <v>34</v>
      </c>
      <c r="N1" s="4" t="s">
        <v>35</v>
      </c>
      <c r="O1" s="4" t="s">
        <v>36</v>
      </c>
      <c r="P1" s="4" t="s">
        <v>37</v>
      </c>
      <c r="Q1" s="4" t="s">
        <v>38</v>
      </c>
      <c r="R1" s="4" t="s">
        <v>39</v>
      </c>
      <c r="S1" s="4" t="s">
        <v>40</v>
      </c>
      <c r="T1" s="4" t="s">
        <v>41</v>
      </c>
      <c r="U1" s="4" t="s">
        <v>42</v>
      </c>
      <c r="V1" s="4" t="s">
        <v>43</v>
      </c>
      <c r="W1" s="4" t="s">
        <v>21</v>
      </c>
    </row>
    <row r="2" spans="1:23" x14ac:dyDescent="0.25">
      <c r="A2" s="5">
        <v>1</v>
      </c>
      <c r="B2" s="5">
        <v>8866</v>
      </c>
      <c r="C2" s="5" t="s">
        <v>44</v>
      </c>
      <c r="D2" s="5" t="s">
        <v>45</v>
      </c>
      <c r="E2" s="5" t="s">
        <v>46</v>
      </c>
      <c r="F2" s="5" t="s">
        <v>47</v>
      </c>
      <c r="G2" s="5" t="e">
        <f ca="1">_xlfn.CONCAT(Táblázat1[[#This Row],[Irányítószám]], " ", Táblázat1[[#This Row],[Település]], " ", Táblázat1[[#This Row],[Utca, házszám]])</f>
        <v>#NAME?</v>
      </c>
      <c r="H2" s="5">
        <v>1000576335</v>
      </c>
      <c r="I2" s="5" t="s">
        <v>48</v>
      </c>
      <c r="J2" s="5" t="s">
        <v>49</v>
      </c>
      <c r="K2" s="5" t="s">
        <v>47</v>
      </c>
      <c r="L2" s="5" t="s">
        <v>50</v>
      </c>
      <c r="M2" s="5" t="s">
        <v>51</v>
      </c>
      <c r="N2" s="5" t="s">
        <v>52</v>
      </c>
      <c r="O2" s="5" t="s">
        <v>53</v>
      </c>
      <c r="P2" s="5" t="s">
        <v>54</v>
      </c>
      <c r="Q2" s="5">
        <v>10</v>
      </c>
      <c r="R2" s="5" t="s">
        <v>55</v>
      </c>
      <c r="S2" s="5" t="s">
        <v>56</v>
      </c>
      <c r="T2" s="5">
        <v>10.26</v>
      </c>
      <c r="U2" s="5" t="s">
        <v>57</v>
      </c>
      <c r="V2" s="5" t="e">
        <f ca="1">_xlfn.CONCAT(Táblázat1[[#This Row],[Irányítószám]]," ",Táblázat1[[#This Row],[Település]]," ",Táblázat1[[#This Row],[Utca, házszám]])</f>
        <v>#NAME?</v>
      </c>
      <c r="W2" s="5" t="str">
        <f t="shared" ref="W2:W3" ca="1" si="0">CONCATENATE(A2,"-cégnév-",(YEAR(TODAY())))</f>
        <v>1-cégnév-2023</v>
      </c>
    </row>
    <row r="3" spans="1:23" x14ac:dyDescent="0.25">
      <c r="A3" s="5">
        <v>3</v>
      </c>
      <c r="B3" s="5">
        <v>1234</v>
      </c>
      <c r="C3" s="5" t="s">
        <v>58</v>
      </c>
      <c r="D3" s="5" t="s">
        <v>59</v>
      </c>
      <c r="E3" s="5" t="s">
        <v>46</v>
      </c>
      <c r="F3" s="5" t="s">
        <v>60</v>
      </c>
      <c r="G3" s="5" t="e">
        <f ca="1">_xlfn.CONCAT(Táblázat1[[#This Row],[Irányítószám]], " ", Táblázat1[[#This Row],[Település]], " ", Táblázat1[[#This Row],[Utca, házszám]])</f>
        <v>#NAME?</v>
      </c>
      <c r="H3" s="5">
        <v>1000576336</v>
      </c>
      <c r="I3" s="5" t="s">
        <v>61</v>
      </c>
      <c r="J3" s="6"/>
      <c r="K3" s="5"/>
      <c r="L3" s="7"/>
      <c r="M3" s="6"/>
      <c r="N3" s="7"/>
      <c r="O3" s="8"/>
      <c r="P3" s="7"/>
      <c r="Q3" s="5"/>
      <c r="R3" s="7"/>
      <c r="S3" s="7"/>
      <c r="T3" s="9"/>
      <c r="U3" s="7"/>
      <c r="V3" s="5" t="e">
        <f ca="1">_xlfn.CONCAT(Táblázat1[[#This Row],[Irányítószám]]," ",Táblázat1[[#This Row],[Település]]," ",Táblázat1[[#This Row],[Utca, házszám]])</f>
        <v>#NAME?</v>
      </c>
      <c r="W3" s="5" t="str">
        <f t="shared" ca="1" si="0"/>
        <v>3-cégnév-2023</v>
      </c>
    </row>
  </sheetData>
  <dataValidations count="1">
    <dataValidation type="list" allowBlank="1" showInputMessage="1" showErrorMessage="1" sqref="E3">
      <formula1>#REF!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"/>
  <sheetViews>
    <sheetView workbookViewId="0">
      <selection activeCell="W11" sqref="W11"/>
    </sheetView>
  </sheetViews>
  <sheetFormatPr defaultRowHeight="15.75" x14ac:dyDescent="0.25"/>
  <cols>
    <col min="3" max="3" width="15.375" bestFit="1" customWidth="1"/>
    <col min="4" max="4" width="17.125" bestFit="1" customWidth="1"/>
    <col min="5" max="5" width="19.5" bestFit="1" customWidth="1"/>
    <col min="7" max="7" width="12.875" bestFit="1" customWidth="1"/>
    <col min="11" max="11" width="32.875" bestFit="1" customWidth="1"/>
    <col min="13" max="13" width="42.75" bestFit="1" customWidth="1"/>
    <col min="14" max="14" width="36" bestFit="1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3" ht="16.5" thickBot="1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29</v>
      </c>
      <c r="H1" t="s">
        <v>30</v>
      </c>
      <c r="I1" t="s">
        <v>31</v>
      </c>
      <c r="J1" t="s">
        <v>62</v>
      </c>
      <c r="K1" t="s">
        <v>63</v>
      </c>
      <c r="L1" t="s">
        <v>64</v>
      </c>
      <c r="M1" t="s">
        <v>65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42</v>
      </c>
      <c r="U1" t="s">
        <v>43</v>
      </c>
      <c r="V1" s="10" t="s">
        <v>80</v>
      </c>
      <c r="W1" s="10" t="s">
        <v>21</v>
      </c>
    </row>
    <row r="2" spans="1:23" x14ac:dyDescent="0.25">
      <c r="A2" s="5">
        <v>2</v>
      </c>
      <c r="B2" s="5">
        <v>4220</v>
      </c>
      <c r="C2" s="5" t="s">
        <v>66</v>
      </c>
      <c r="D2" s="5" t="s">
        <v>67</v>
      </c>
      <c r="E2" s="5" t="s">
        <v>68</v>
      </c>
      <c r="F2" s="5" t="s">
        <v>69</v>
      </c>
      <c r="G2" s="5">
        <v>1003469201</v>
      </c>
      <c r="H2" s="5"/>
      <c r="I2" s="5" t="s">
        <v>70</v>
      </c>
      <c r="J2" s="5" t="s">
        <v>71</v>
      </c>
      <c r="K2" s="5">
        <v>5.8907834771223104E+16</v>
      </c>
      <c r="L2" s="5" t="s">
        <v>72</v>
      </c>
      <c r="M2" s="5" t="s">
        <v>73</v>
      </c>
      <c r="N2" s="5" t="s">
        <v>74</v>
      </c>
      <c r="O2" s="5" t="s">
        <v>75</v>
      </c>
      <c r="P2" s="5">
        <v>20</v>
      </c>
      <c r="Q2" s="5" t="s">
        <v>55</v>
      </c>
      <c r="R2" s="5" t="s">
        <v>56</v>
      </c>
      <c r="S2" s="5">
        <v>10.26</v>
      </c>
      <c r="T2" s="5" t="s">
        <v>76</v>
      </c>
      <c r="U2" s="5" t="s">
        <v>65</v>
      </c>
      <c r="V2" s="5" t="s">
        <v>81</v>
      </c>
      <c r="W2" s="5" t="str">
        <f t="shared" ref="W2" ca="1" si="0">CONCATENATE(A2,"-cégnév-",(YEAR(TODAY())))</f>
        <v>2-cégnév-2023</v>
      </c>
    </row>
  </sheetData>
  <dataValidations count="1">
    <dataValidation type="list" allowBlank="1" showInputMessage="1" showErrorMessage="1" sqref="E2">
      <formula1>#REF!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>
      <selection sqref="A1:A2"/>
    </sheetView>
  </sheetViews>
  <sheetFormatPr defaultRowHeight="15.75" x14ac:dyDescent="0.25"/>
  <sheetData>
    <row r="1" spans="1:1" x14ac:dyDescent="0.25">
      <c r="A1" t="s">
        <v>77</v>
      </c>
    </row>
    <row r="2" spans="1:1" x14ac:dyDescent="0.25">
      <c r="A2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5</vt:i4>
      </vt:variant>
      <vt:variant>
        <vt:lpstr>Névvel ellátott tartományok</vt:lpstr>
      </vt:variant>
      <vt:variant>
        <vt:i4>1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Munka3</vt:lpstr>
      <vt:lpstr>SheetNames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2023-03-23T04:18:51Z</dcterms:modified>
  <cp:category/>
  <cp:contentStatus/>
</cp:coreProperties>
</file>