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8220" yWindow="-18090" windowWidth="38700" windowHeight="15345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" i="6" l="1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F3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B3" i="6"/>
  <c r="AB4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Y3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W3" i="6"/>
  <c r="W4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Y2" i="6" l="1"/>
  <c r="B39" i="1" l="1"/>
  <c r="B30" i="1"/>
  <c r="AG2" i="6"/>
  <c r="B38" i="1" s="1"/>
  <c r="AF2" i="6"/>
  <c r="AE2" i="6"/>
  <c r="AD2" i="6"/>
  <c r="B35" i="1" s="1"/>
  <c r="AC2" i="6"/>
  <c r="B34" i="1" s="1"/>
  <c r="AB2" i="6"/>
  <c r="B33" i="1" s="1"/>
  <c r="AA2" i="6"/>
  <c r="B32" i="1" s="1"/>
  <c r="Z2" i="6"/>
  <c r="B31" i="1" s="1"/>
  <c r="X2" i="6"/>
  <c r="B29" i="1" s="1"/>
  <c r="W2" i="6"/>
  <c r="B28" i="1" s="1"/>
  <c r="V2" i="6"/>
  <c r="B27" i="1" s="1"/>
  <c r="B25" i="1"/>
  <c r="R2" i="6"/>
  <c r="B24" i="1" s="1"/>
  <c r="Q2" i="6"/>
  <c r="B23" i="1" s="1"/>
  <c r="P2" i="6"/>
  <c r="B22" i="1" s="1"/>
  <c r="O2" i="6"/>
  <c r="N2" i="6"/>
  <c r="B20" i="1" s="1"/>
  <c r="M2" i="6"/>
  <c r="B19" i="1" s="1"/>
  <c r="L2" i="6"/>
  <c r="B18" i="1" s="1"/>
  <c r="K2" i="6"/>
  <c r="B17" i="1" s="1"/>
  <c r="J2" i="6"/>
  <c r="B16" i="1" s="1"/>
  <c r="H2" i="6"/>
  <c r="B14" i="1" s="1"/>
  <c r="G2" i="6"/>
  <c r="B13" i="1" s="1"/>
  <c r="F2" i="6"/>
  <c r="B12" i="1" s="1"/>
  <c r="E2" i="6"/>
  <c r="B11" i="1" s="1"/>
  <c r="D2" i="6"/>
  <c r="B10" i="1" s="1"/>
  <c r="C2" i="6"/>
  <c r="B9" i="1" s="1"/>
  <c r="B2" i="6"/>
  <c r="B8" i="1" s="1"/>
  <c r="A2" i="6"/>
  <c r="I2" i="6"/>
  <c r="B15" i="1" s="1"/>
  <c r="B7" i="1"/>
  <c r="B37" i="1"/>
  <c r="B36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6" l="1"/>
  <c r="B26" i="1" s="1"/>
</calcChain>
</file>

<file path=xl/sharedStrings.xml><?xml version="1.0" encoding="utf-8"?>
<sst xmlns="http://schemas.openxmlformats.org/spreadsheetml/2006/main" count="2607" uniqueCount="1303">
  <si>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</si>
  <si>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</si>
  <si>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</si>
  <si>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</si>
  <si>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</si>
  <si>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</si>
  <si>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</si>
  <si>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</si>
  <si>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</si>
  <si>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</si>
  <si>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</si>
  <si>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</si>
  <si>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</si>
  <si>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</si>
  <si>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</si>
  <si>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</si>
  <si>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</si>
  <si>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</si>
  <si>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</si>
  <si>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</si>
  <si>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</si>
  <si>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</si>
  <si>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</si>
  <si>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</si>
  <si>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</si>
  <si>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</si>
  <si>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</si>
  <si>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</si>
  <si>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</si>
  <si>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</si>
  <si>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</si>
  <si>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</si>
  <si>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</si>
  <si>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</si>
  <si>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</si>
  <si>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</si>
  <si>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</si>
  <si>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</si>
  <si>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</si>
  <si>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</si>
  <si>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</si>
  <si>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</si>
  <si>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</si>
  <si>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</si>
  <si>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</si>
  <si>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</si>
  <si>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</si>
  <si>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</si>
  <si>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</si>
  <si>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</si>
  <si>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</si>
  <si>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</si>
  <si>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</si>
  <si>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</si>
  <si>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</si>
  <si>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</si>
  <si>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</si>
  <si>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</si>
  <si>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</si>
  <si>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</si>
  <si>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</si>
  <si>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</si>
  <si>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</si>
  <si>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</si>
  <si>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</si>
  <si>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</si>
  <si>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</si>
  <si>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</si>
  <si>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</si>
  <si>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</si>
  <si>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</si>
  <si>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</si>
  <si>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</si>
  <si>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</si>
  <si>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</si>
  <si>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</si>
  <si>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</si>
  <si>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</si>
  <si>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</si>
  <si>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</si>
  <si>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</si>
  <si>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</si>
  <si>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</si>
  <si>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</si>
  <si>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</si>
  <si>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</si>
  <si>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</si>
  <si>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</si>
  <si>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</si>
  <si>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</si>
  <si>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</si>
  <si>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</si>
  <si>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</si>
  <si>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</si>
  <si>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</si>
  <si>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</si>
  <si>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</si>
  <si>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</si>
  <si>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</si>
  <si>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</si>
  <si>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</si>
  <si>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</si>
  <si>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</si>
  <si>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</si>
  <si>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</si>
  <si>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</si>
  <si>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</si>
  <si>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</si>
  <si>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</si>
  <si>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</si>
  <si>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</si>
  <si>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</si>
  <si>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</si>
  <si>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</si>
  <si>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</si>
  <si>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</si>
  <si>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</si>
  <si>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</si>
  <si>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</si>
  <si>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</si>
  <si>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</si>
  <si>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</si>
  <si>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</si>
  <si>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</si>
  <si>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</si>
  <si>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</si>
  <si>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</si>
  <si>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</si>
  <si>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</si>
  <si>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</si>
  <si>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</si>
  <si>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</si>
  <si>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</si>
  <si>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</si>
  <si>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</si>
  <si>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</si>
  <si>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</si>
  <si>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</si>
  <si>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</si>
  <si>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</si>
  <si>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</si>
  <si>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</si>
  <si>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</si>
  <si>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</si>
  <si>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</si>
  <si>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</si>
  <si>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</si>
  <si>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</si>
  <si>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</si>
  <si>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</si>
  <si>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</si>
  <si>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</si>
  <si>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</si>
  <si>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</si>
  <si>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</si>
  <si>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</si>
  <si>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</si>
  <si>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</si>
  <si>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</si>
  <si>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</si>
  <si>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</si>
  <si>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</si>
  <si>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</si>
  <si>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</si>
  <si>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</si>
  <si>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</si>
  <si>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</si>
  <si>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</si>
  <si>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</si>
  <si>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</si>
  <si>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</si>
  <si>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</si>
  <si>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</si>
  <si>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</si>
  <si>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</si>
  <si>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</si>
  <si>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</si>
  <si>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</si>
  <si>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</si>
  <si>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</si>
  <si>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</si>
  <si>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</si>
  <si>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</si>
  <si>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</si>
  <si>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</si>
  <si>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</si>
  <si>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</si>
  <si>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</si>
  <si>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</si>
  <si>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</si>
  <si>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</si>
  <si>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</si>
  <si>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</si>
  <si>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</si>
  <si>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</si>
  <si>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</si>
  <si>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</si>
  <si>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</si>
  <si>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</si>
  <si>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</si>
  <si>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</si>
  <si>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</si>
  <si>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</si>
  <si>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</si>
  <si>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</si>
  <si>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</si>
  <si>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</si>
  <si>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</si>
  <si>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</si>
  <si>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</si>
  <si>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</si>
  <si>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</si>
  <si>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</si>
  <si>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</si>
  <si>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</si>
  <si>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</si>
  <si>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</si>
  <si>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</si>
  <si>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</si>
  <si>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</si>
  <si>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</si>
  <si>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</si>
  <si>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</si>
  <si>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</si>
  <si>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</si>
  <si>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</si>
  <si>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</si>
  <si>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</si>
  <si>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</si>
  <si>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</si>
  <si>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</si>
  <si>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</si>
  <si>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</si>
  <si>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</si>
  <si>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</si>
  <si>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</si>
  <si>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</si>
  <si>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</si>
  <si>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</si>
  <si>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</si>
  <si>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</si>
  <si>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</si>
  <si>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</si>
  <si>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</si>
  <si>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</si>
  <si>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</si>
  <si>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</si>
  <si>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</si>
  <si>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</si>
  <si>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</si>
  <si>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</si>
  <si>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</si>
  <si>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</si>
  <si>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</si>
  <si>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</si>
  <si>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</si>
  <si>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</si>
  <si>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</si>
  <si>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</si>
  <si>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</si>
  <si>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</si>
  <si>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</si>
  <si>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</si>
  <si>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</si>
  <si>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</si>
  <si>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</si>
  <si>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</si>
  <si>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</si>
  <si>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</si>
  <si>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</si>
  <si>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</si>
  <si>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</si>
  <si>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</si>
  <si>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</si>
  <si>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</si>
  <si>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</si>
  <si>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</si>
  <si>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</si>
  <si>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</si>
  <si>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</si>
  <si>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</si>
  <si>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</si>
  <si>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</si>
  <si>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</si>
  <si>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</si>
  <si>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</si>
  <si>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</si>
  <si>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</si>
  <si>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</si>
  <si>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</si>
  <si>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</si>
  <si>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</si>
  <si>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</si>
  <si>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</si>
  <si>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</si>
  <si>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</si>
  <si>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</si>
  <si>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</si>
  <si>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</si>
  <si>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</si>
  <si>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</si>
  <si>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</si>
  <si>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</si>
  <si>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</si>
  <si>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</si>
  <si>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</si>
  <si>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</si>
  <si>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</si>
  <si>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</si>
  <si>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</si>
  <si>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</si>
  <si>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</si>
  <si>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</si>
  <si>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</si>
  <si>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</si>
  <si>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</si>
  <si>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</si>
  <si>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</si>
  <si>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</si>
  <si>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</si>
  <si>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</si>
  <si>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</si>
  <si>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</si>
  <si>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</si>
  <si>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</si>
  <si>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</si>
  <si>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</si>
  <si>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</si>
  <si>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</si>
  <si>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</si>
  <si>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</si>
  <si>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</si>
  <si>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</si>
  <si>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</si>
  <si>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</si>
  <si>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</si>
  <si>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</si>
  <si>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</si>
  <si>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</si>
  <si>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</si>
  <si>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</si>
  <si>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</si>
  <si>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</si>
  <si>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</si>
  <si>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</si>
  <si>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</si>
  <si>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</si>
  <si>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</si>
  <si>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</si>
  <si>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</si>
  <si>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</si>
  <si>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</si>
  <si>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</si>
  <si>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</si>
  <si>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</si>
  <si>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</si>
  <si>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</si>
  <si>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</si>
  <si>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</si>
  <si>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</si>
  <si>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</si>
  <si>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</si>
  <si>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</si>
  <si>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</si>
  <si>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</si>
  <si>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</si>
  <si>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</si>
  <si>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</si>
  <si>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</si>
  <si>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</si>
  <si>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</si>
  <si>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</si>
  <si>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</si>
  <si>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</si>
  <si>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</si>
  <si>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</si>
  <si>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</si>
  <si>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</si>
  <si>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</si>
  <si>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</si>
  <si>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</si>
  <si>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</si>
  <si>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</si>
  <si>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</si>
  <si>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</si>
  <si>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</si>
  <si>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</si>
  <si>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</si>
  <si>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</si>
  <si>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</si>
  <si>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</si>
  <si>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</si>
  <si>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</si>
  <si>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</si>
  <si>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</si>
  <si>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</si>
  <si>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</si>
  <si>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</si>
  <si>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</si>
  <si>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</si>
  <si>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</si>
  <si>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</si>
  <si>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</si>
  <si>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</si>
  <si>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</si>
  <si>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</si>
  <si>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</si>
  <si>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</si>
  <si>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</si>
  <si>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</si>
  <si>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</si>
  <si>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</si>
  <si>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</si>
  <si>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</si>
  <si>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</si>
  <si>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</si>
  <si>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</si>
  <si>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</si>
  <si>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</si>
  <si>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</si>
  <si>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</si>
  <si>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</si>
  <si>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</si>
  <si>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</si>
  <si>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</si>
  <si>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</si>
  <si>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</si>
  <si>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</si>
  <si>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</si>
  <si>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</si>
  <si>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</si>
  <si>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</si>
  <si>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</si>
  <si>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</si>
  <si>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</si>
  <si>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</si>
  <si>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</si>
  <si>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</si>
  <si>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</si>
  <si>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</si>
  <si>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</si>
  <si>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</si>
  <si>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</si>
  <si>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</si>
  <si>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</si>
  <si>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</si>
  <si>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</si>
  <si>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</si>
  <si>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</si>
  <si>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</si>
  <si>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</si>
  <si>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</si>
  <si>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</si>
  <si>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</si>
  <si>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</si>
  <si>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</si>
  <si>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</si>
  <si>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</si>
  <si>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</si>
  <si>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</si>
  <si>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</si>
  <si>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</si>
  <si>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</si>
  <si>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</si>
  <si>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</si>
  <si>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</si>
  <si>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</si>
  <si>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</si>
  <si>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</si>
  <si>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</si>
  <si>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</si>
  <si>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</si>
  <si>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</si>
  <si>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</si>
  <si>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</si>
  <si>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</si>
  <si>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</si>
  <si>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</si>
  <si>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</si>
  <si>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</si>
  <si>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</si>
  <si>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</si>
  <si>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</si>
  <si>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</si>
  <si>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</si>
  <si>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</si>
  <si>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</si>
  <si>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</si>
  <si>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</si>
  <si>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</si>
  <si>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</si>
  <si>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</si>
  <si>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</si>
  <si>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</si>
  <si>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</si>
  <si>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</si>
  <si>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</si>
  <si>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</si>
  <si>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</si>
  <si>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</si>
  <si>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</si>
  <si>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</si>
  <si>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</si>
  <si>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</si>
  <si>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</si>
  <si>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</si>
  <si>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</si>
  <si>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</si>
  <si>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</si>
  <si>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</si>
  <si>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</si>
  <si>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</si>
  <si>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</si>
  <si>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</si>
  <si>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</si>
  <si>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</si>
  <si>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</si>
  <si>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</si>
  <si>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</si>
  <si>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</si>
  <si>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</si>
  <si>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</si>
  <si>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</si>
  <si>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</si>
  <si>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</si>
  <si>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</si>
  <si>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</si>
  <si>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</si>
  <si>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</si>
  <si>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</si>
  <si>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</si>
  <si>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</si>
  <si>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</si>
  <si>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</si>
  <si>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</si>
  <si>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</si>
  <si>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</si>
  <si>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</si>
  <si>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</si>
  <si>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</si>
  <si>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</si>
  <si>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</si>
  <si>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</si>
  <si>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</si>
  <si>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</si>
  <si>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</si>
  <si>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</si>
  <si>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</si>
  <si>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</si>
  <si>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</si>
  <si>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</si>
  <si>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</si>
  <si>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</si>
  <si>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</si>
  <si>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</si>
  <si>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</si>
  <si>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</si>
  <si>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</si>
  <si>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</si>
  <si>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</si>
  <si>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</si>
  <si>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</si>
  <si>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</si>
  <si>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</si>
  <si>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</si>
  <si>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</si>
  <si>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</si>
  <si>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</si>
  <si>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</si>
  <si>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</si>
  <si>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</si>
  <si>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</si>
  <si>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</si>
  <si>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</si>
  <si>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</si>
  <si>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</si>
  <si>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</si>
  <si>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</si>
  <si>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</si>
  <si>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</si>
  <si>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</si>
  <si>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</si>
  <si>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</si>
  <si>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</si>
  <si>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</si>
  <si>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</si>
  <si>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</si>
  <si>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</si>
  <si>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</si>
  <si>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</si>
  <si>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</si>
  <si>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</si>
  <si>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</si>
  <si>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</si>
  <si>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</si>
  <si>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</si>
  <si>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</si>
  <si>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</si>
  <si>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</si>
  <si>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</si>
  <si>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</si>
  <si>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</si>
  <si>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</si>
  <si>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</si>
  <si>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</si>
  <si>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</si>
  <si>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</si>
  <si>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</si>
  <si>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</si>
  <si>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</si>
  <si>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</si>
  <si>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</si>
  <si>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</si>
  <si>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</si>
  <si>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</si>
  <si>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</si>
  <si>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</si>
  <si>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</si>
  <si>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</si>
  <si>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</si>
  <si>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</si>
  <si>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</si>
  <si>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</si>
  <si>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</si>
  <si>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</si>
  <si>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</si>
  <si>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</si>
  <si>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</si>
  <si>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</si>
  <si>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</si>
  <si>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</si>
  <si>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</si>
  <si>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</si>
  <si>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</si>
  <si>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</si>
  <si>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</si>
  <si>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</si>
  <si>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</si>
  <si>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</si>
  <si>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</si>
  <si>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</si>
  <si>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</si>
  <si>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</si>
  <si>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</si>
  <si>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</si>
  <si>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</si>
  <si>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</si>
  <si>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</si>
  <si>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</si>
  <si>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</si>
  <si>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</si>
  <si>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</si>
  <si>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</si>
  <si>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</si>
  <si>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</si>
  <si>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</si>
  <si>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</si>
  <si>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</si>
  <si>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</si>
  <si>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</si>
  <si>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</si>
  <si>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</si>
  <si>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</si>
  <si>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</si>
  <si>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</si>
  <si>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</si>
  <si>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</si>
  <si>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</si>
  <si>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</si>
  <si>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</si>
  <si>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</si>
  <si>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</si>
  <si>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</si>
  <si>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</si>
  <si>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</si>
  <si>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</si>
  <si>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</si>
  <si>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</si>
  <si>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</si>
  <si>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</si>
  <si>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</si>
  <si>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</si>
  <si>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</si>
  <si>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</si>
  <si>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</si>
  <si>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</si>
  <si>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</si>
  <si>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</si>
  <si>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</si>
  <si>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</si>
  <si>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</si>
  <si>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</si>
  <si>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</si>
  <si>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</si>
  <si>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</si>
  <si>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</si>
  <si>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</si>
  <si>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</si>
  <si>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</si>
  <si>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</si>
  <si>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</si>
  <si>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</si>
  <si>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</si>
  <si>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</si>
  <si>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</si>
  <si>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</si>
  <si>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</si>
  <si>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</si>
  <si>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</si>
  <si>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</si>
  <si>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</si>
  <si>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</si>
  <si>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</si>
  <si>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</si>
  <si>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</si>
  <si>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</si>
  <si>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</si>
  <si>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</si>
  <si>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</si>
  <si>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</si>
  <si>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</si>
  <si>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</si>
  <si>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</si>
  <si>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</si>
  <si>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</si>
  <si>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</si>
  <si>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</si>
  <si>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</si>
  <si>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</si>
  <si>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</si>
  <si>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</si>
  <si>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</si>
  <si>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</si>
  <si>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</si>
  <si>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</si>
  <si>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</si>
  <si>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</si>
  <si>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</si>
  <si>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</si>
  <si>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</si>
  <si>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</si>
  <si>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</si>
  <si>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</si>
  <si>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</si>
  <si>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</si>
  <si>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</si>
  <si>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</si>
  <si>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</si>
  <si>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</si>
  <si>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</si>
  <si>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</si>
  <si>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</si>
  <si>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</si>
  <si>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</si>
  <si>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</si>
  <si>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</si>
  <si>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</si>
  <si>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</si>
  <si>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</si>
  <si>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</si>
  <si>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</si>
  <si>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</si>
  <si>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</si>
  <si>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</si>
  <si>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</si>
  <si>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</si>
  <si>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</si>
  <si>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</si>
  <si>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</si>
  <si>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</si>
  <si>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</si>
  <si>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</si>
  <si>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</si>
  <si>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</si>
  <si>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</si>
  <si>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</si>
  <si>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</si>
  <si>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</si>
  <si>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</si>
  <si>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</si>
  <si>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</si>
  <si>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</si>
  <si>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</si>
  <si>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</si>
  <si>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</si>
  <si>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</si>
  <si>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</si>
  <si>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</si>
  <si>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</si>
  <si>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</si>
  <si>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</si>
  <si>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</si>
  <si>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</si>
  <si>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</si>
  <si>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</si>
  <si>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</si>
  <si>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</si>
  <si>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</si>
  <si>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</si>
  <si>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</si>
  <si>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</si>
  <si>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</si>
  <si>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</si>
  <si>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</si>
  <si>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</si>
  <si>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</si>
  <si>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</si>
  <si>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</si>
  <si>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</si>
  <si>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</si>
  <si>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</si>
  <si>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</si>
  <si>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</si>
  <si>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</si>
  <si>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</si>
  <si>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</si>
  <si>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</si>
  <si>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</si>
  <si>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</si>
  <si>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</si>
  <si>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</si>
  <si>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</si>
  <si>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</si>
  <si>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</si>
  <si>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</si>
  <si>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</si>
  <si>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</si>
  <si>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</si>
  <si>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</si>
  <si>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</si>
  <si>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</si>
  <si>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</si>
  <si>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</si>
  <si>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</si>
  <si>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</si>
  <si>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</si>
  <si>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</si>
  <si>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</si>
  <si>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</si>
  <si>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</si>
  <si>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</si>
  <si>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</si>
  <si>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</si>
  <si>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</si>
  <si>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</si>
  <si>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</si>
  <si>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</si>
  <si>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</si>
  <si>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</si>
  <si>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</si>
  <si>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</si>
  <si>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</si>
  <si>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</si>
  <si>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</si>
  <si>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</si>
  <si>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</si>
  <si>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</si>
  <si>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</si>
  <si>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</si>
  <si>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</si>
  <si>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</si>
  <si>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</si>
  <si>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</si>
  <si>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</si>
  <si>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</si>
  <si>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</si>
  <si>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</si>
  <si>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</si>
  <si>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</si>
  <si>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</si>
  <si>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</si>
  <si>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</si>
  <si>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</si>
  <si>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</si>
  <si>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</si>
  <si>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</si>
  <si>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</si>
  <si>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</si>
  <si>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</si>
  <si>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</si>
  <si>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</si>
  <si>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</si>
  <si>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</si>
  <si>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</si>
  <si>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</si>
  <si>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</si>
  <si>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</si>
  <si>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</si>
  <si>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</si>
  <si>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</si>
  <si>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</si>
  <si>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</si>
  <si>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</si>
  <si>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</si>
  <si>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</si>
  <si>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</si>
  <si>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</si>
  <si>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</si>
  <si>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</si>
  <si>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</si>
  <si>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</si>
  <si>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</si>
  <si>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</si>
  <si>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</si>
  <si>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</si>
  <si>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</si>
  <si>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</si>
  <si>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</si>
  <si>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</si>
  <si>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</si>
  <si>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</si>
  <si>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</si>
  <si>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</si>
  <si>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</si>
  <si>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</si>
  <si>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</si>
  <si>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</si>
  <si>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</si>
  <si>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</si>
  <si>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</si>
  <si>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</si>
  <si>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</si>
  <si>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</si>
  <si>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</si>
  <si>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</si>
  <si>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</si>
  <si>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</si>
  <si>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</si>
  <si>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</si>
  <si>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</si>
  <si>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</si>
  <si>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</si>
  <si>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</si>
  <si>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</si>
  <si>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</si>
  <si>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</si>
  <si>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</si>
  <si>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</si>
  <si>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</si>
  <si>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</si>
  <si>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</si>
  <si>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</si>
  <si>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</si>
  <si>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</si>
  <si>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</si>
  <si>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</si>
  <si>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</si>
  <si>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</si>
  <si>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</si>
  <si>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</si>
  <si>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</si>
  <si>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</si>
  <si>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</si>
  <si>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</si>
  <si>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</si>
  <si>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</si>
  <si>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</si>
  <si>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</si>
  <si>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</si>
  <si>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</si>
  <si>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</si>
  <si>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</si>
  <si>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</si>
  <si>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</si>
  <si>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</si>
  <si>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</si>
  <si>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</si>
  <si>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</si>
  <si>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</si>
  <si>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</si>
  <si>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</si>
  <si>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</si>
  <si>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</si>
  <si>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</si>
  <si>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</si>
  <si>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</si>
  <si>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</si>
  <si>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</si>
  <si>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</si>
  <si>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</si>
  <si>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</si>
  <si>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</si>
  <si>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</si>
  <si>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</si>
  <si>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</si>
  <si>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</si>
  <si>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</si>
  <si>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</si>
  <si>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</si>
  <si>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</si>
  <si>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</si>
  <si>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</si>
  <si>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</si>
  <si>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</si>
  <si>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</si>
  <si>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</si>
  <si>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</si>
  <si>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</si>
  <si>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</si>
  <si>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</si>
  <si>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</si>
  <si>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</si>
  <si>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</si>
  <si>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</si>
  <si>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</si>
  <si>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</si>
  <si>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</si>
  <si>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</si>
  <si>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</si>
  <si>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</si>
  <si>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</si>
  <si>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</si>
  <si>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</si>
  <si>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</si>
  <si>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</si>
  <si>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</si>
  <si>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</si>
  <si>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</si>
  <si>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</si>
  <si>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</si>
  <si>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</si>
  <si>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</si>
  <si>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</si>
  <si>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</si>
  <si>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</si>
  <si>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</si>
  <si>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</si>
  <si>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</si>
  <si>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</si>
  <si>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</si>
  <si>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</si>
  <si>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</si>
  <si>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</si>
  <si>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</si>
  <si>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</si>
  <si>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</si>
  <si>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</si>
  <si>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</si>
  <si>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</si>
  <si>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</si>
  <si>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</si>
  <si>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</si>
  <si>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</si>
  <si>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</si>
  <si>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</si>
  <si>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</si>
  <si>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</si>
  <si>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</si>
  <si>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</si>
  <si>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</si>
  <si>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</si>
  <si>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</si>
  <si>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</si>
  <si>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</si>
  <si>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</si>
  <si>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</si>
  <si>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</si>
  <si>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</si>
  <si>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</si>
  <si>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</si>
  <si>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</si>
  <si>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</si>
  <si>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</si>
  <si>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</si>
  <si>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</si>
  <si>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</si>
  <si>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</si>
  <si>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</si>
  <si>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</si>
  <si>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</si>
  <si>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</si>
  <si>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</si>
  <si>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</si>
  <si>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</si>
  <si>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</si>
  <si>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</si>
  <si>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</si>
  <si>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</si>
  <si>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</si>
  <si>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</si>
  <si>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</si>
  <si>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</si>
  <si>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</si>
  <si>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</si>
  <si>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</si>
  <si>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</si>
  <si>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</si>
  <si>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</si>
  <si>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</si>
  <si>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</si>
  <si>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</si>
  <si>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</si>
  <si>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</si>
  <si>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</si>
  <si>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</si>
  <si>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</si>
  <si>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</si>
  <si>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</si>
  <si>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</si>
  <si>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</si>
  <si>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</si>
  <si>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</si>
  <si>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</si>
  <si>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</si>
  <si>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</si>
  <si>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</si>
  <si>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</si>
  <si>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</si>
  <si>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</si>
  <si>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</si>
  <si>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</si>
  <si>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</si>
  <si>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</si>
  <si>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</si>
  <si>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</si>
  <si>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</si>
  <si>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</si>
  <si>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</si>
  <si>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</si>
  <si>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</si>
  <si>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</si>
  <si>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</si>
  <si>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</si>
  <si>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</si>
  <si>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</si>
  <si>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</si>
  <si>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</si>
  <si>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</si>
  <si>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</si>
  <si>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</si>
  <si>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</si>
  <si>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</si>
  <si>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</si>
  <si>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</si>
  <si>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</si>
  <si>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</si>
  <si>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</si>
  <si>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</si>
  <si>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</si>
  <si>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</si>
  <si>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</si>
  <si>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</si>
  <si>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</si>
  <si>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</si>
  <si>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</si>
  <si>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</si>
  <si>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</si>
  <si>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</si>
  <si>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</si>
  <si>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</si>
  <si>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</si>
  <si>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</si>
  <si>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</si>
  <si>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</si>
  <si>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</si>
  <si>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</si>
  <si>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</si>
  <si>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</si>
  <si>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</si>
  <si>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</si>
  <si>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</si>
  <si>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</si>
  <si>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</si>
  <si>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</si>
  <si>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</si>
  <si>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</si>
  <si>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</si>
  <si>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</si>
  <si>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</si>
  <si>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</si>
  <si>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</si>
  <si>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</si>
  <si>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</si>
  <si>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</si>
  <si>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</si>
  <si>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</si>
  <si>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</si>
  <si>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</si>
  <si>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</si>
  <si>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</si>
  <si>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</si>
  <si>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</si>
  <si>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</si>
  <si>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</si>
  <si>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</si>
  <si>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</si>
  <si>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</si>
  <si>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</si>
  <si>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</si>
  <si>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</si>
  <si>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</si>
  <si>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</si>
  <si>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</si>
  <si>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</si>
  <si>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</si>
  <si>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</si>
  <si>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</si>
  <si>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</si>
  <si>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</si>
  <si>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</si>
  <si>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</si>
  <si>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</si>
  <si>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</si>
  <si>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</si>
  <si>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</si>
  <si>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</si>
  <si>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</si>
  <si>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</si>
  <si>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</si>
  <si>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</si>
  <si>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</si>
  <si>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</si>
  <si>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</si>
  <si>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</si>
  <si>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</si>
  <si>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</si>
  <si>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</si>
  <si>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</si>
  <si>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</si>
  <si>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</si>
  <si>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</si>
  <si>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</si>
  <si>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</si>
  <si>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</si>
  <si>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</si>
  <si>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</si>
  <si>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</si>
  <si>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</si>
  <si>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</si>
  <si>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</si>
  <si>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</si>
  <si>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</si>
  <si>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</si>
  <si>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</si>
  <si>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</si>
  <si>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</si>
  <si>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</si>
  <si>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</si>
  <si>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</si>
  <si>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</si>
  <si>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</si>
  <si>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</si>
  <si>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</si>
  <si>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</si>
  <si>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</si>
  <si>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</si>
  <si>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</si>
  <si>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</si>
  <si>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</si>
  <si>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MÉRÉSIPONT_ID</t>
  </si>
  <si>
    <t>PATH_TO_DIR</t>
  </si>
  <si>
    <t>teszt magán Robinak mutatom</t>
  </si>
  <si>
    <t>az</t>
  </si>
  <si>
    <t>volt a</t>
  </si>
  <si>
    <t>Magánszemély</t>
  </si>
  <si>
    <t>baj</t>
  </si>
  <si>
    <t>hogy</t>
  </si>
  <si>
    <t>nagy M a</t>
  </si>
  <si>
    <t>mindenhol (D oszlop is, meg a lap neve is)</t>
  </si>
  <si>
    <t>kódban</t>
  </si>
  <si>
    <t xml:space="preserve">de </t>
  </si>
  <si>
    <t xml:space="preserve">ezzel a </t>
  </si>
  <si>
    <t>templattel</t>
  </si>
  <si>
    <t>jó</t>
  </si>
  <si>
    <t>lesz</t>
  </si>
  <si>
    <t>teszt</t>
  </si>
  <si>
    <t>1 fázis</t>
  </si>
  <si>
    <t>1-cég2-2023</t>
  </si>
  <si>
    <t>c:\suncollector\word_automation\cég2\1-cég2-2023</t>
  </si>
  <si>
    <t>FÁZIS_1V3</t>
  </si>
  <si>
    <t>2-ENERGO INVESTMENT-2023</t>
  </si>
  <si>
    <t>c:\suncollector\word_automation\ENERGO INVESTMENT\2-ENERGO INVESTMENT-2023</t>
  </si>
  <si>
    <t>IRSZ teszt 1 ügyfél</t>
  </si>
  <si>
    <t>város</t>
  </si>
  <si>
    <t>utca</t>
  </si>
  <si>
    <t>felhasználó neve</t>
  </si>
  <si>
    <t>Partner 1</t>
  </si>
  <si>
    <t>USER_1</t>
  </si>
  <si>
    <t>gyáriszém12234</t>
  </si>
  <si>
    <t>NÉV</t>
  </si>
  <si>
    <t>Anya</t>
  </si>
  <si>
    <t>hely és dátum</t>
  </si>
  <si>
    <t>061 234 5678</t>
  </si>
  <si>
    <t>mail</t>
  </si>
  <si>
    <t>1*32A</t>
  </si>
  <si>
    <t>KILOWATT</t>
  </si>
  <si>
    <t>teszt érintésvédelmi mód</t>
  </si>
  <si>
    <t>DC vill teljesítmény</t>
  </si>
  <si>
    <t>levél cím</t>
  </si>
  <si>
    <t>napelem panel</t>
  </si>
  <si>
    <t>16 m DC hossz</t>
  </si>
  <si>
    <t>kismegszakító teszt</t>
  </si>
  <si>
    <t>mérési pont ID 45679</t>
  </si>
  <si>
    <t>ABB UNO-DM-3.0-TL-PLUS-XYK-JVN</t>
  </si>
  <si>
    <t>ABB UNO-DM-1.2TL-PLUS-SB</t>
  </si>
  <si>
    <t>3-GREEN DEALER-2023</t>
  </si>
  <si>
    <t>c:\suncollector\word_automation\GREEN DEALER\3-GREEN DEALER-2023</t>
  </si>
  <si>
    <t>teszt jogi</t>
  </si>
  <si>
    <t>Jogi személy</t>
  </si>
  <si>
    <t>3 fázis</t>
  </si>
  <si>
    <t>tesztinverter</t>
  </si>
  <si>
    <t>teszt lev cím</t>
  </si>
  <si>
    <t>tesztnapelem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</si>
</sst>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89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áblázat1" displayName="Táblázat1" ref="A1:AC12" totalsRowShown="0" headerRowDxfId="88">
  <autoFilter ref="A1:AC12"/>
  <tableColumns count="29">
    <tableColumn id="1" name="Irányítószám" dataDxfId="87"/>
    <tableColumn id="2" name="Település" dataDxfId="86"/>
    <tableColumn id="3" name="Utca, házszám" dataDxfId="85"/>
    <tableColumn id="4" name="Magán/jogi személy" dataDxfId="84"/>
    <tableColumn id="5" name="Rendszerhasználó neve" dataDxfId="83"/>
    <tableColumn id="6" name="Partnerszám" dataDxfId="82"/>
    <tableColumn id="7" name="Felhasználási hely azonsító" dataDxfId="81"/>
    <tableColumn id="8" name="Érintett elszámolási mérő gyári száma" dataDxfId="80"/>
    <tableColumn id="9" name="Születési név" dataDxfId="79"/>
    <tableColumn id="10" name="Anyja neve:" dataDxfId="78"/>
    <tableColumn id="11" name="Születési hely, dátum" dataDxfId="77"/>
    <tableColumn id="13" name="Felhasználó elérhetősége telefon" dataDxfId="76"/>
    <tableColumn id="27" name="Felhasználó elérhetősége e-mail"/>
    <tableColumn id="14" name="Felhasználási helyen rendelkezésre álló teljesítmény: (pl. 3x32A, vagy 1x32 A)" dataDxfId="75"/>
    <tableColumn id="15" name="Beépített termelői kapacitás kW-ban" dataDxfId="74"/>
    <tableColumn id="16" name="Termelői kapacitás csatlakoztatása" dataDxfId="73"/>
    <tableColumn id="17" name="Felhasználási helyen alkalmazott érintésvédelmi mód" dataDxfId="72"/>
    <tableColumn id="18" name="DC oldali villamos teljesítménye" dataDxfId="71"/>
    <tableColumn id="19" name="Inverter" dataDxfId="70"/>
    <tableColumn id="20" name="Levelezési cím" dataDxfId="69"/>
    <tableColumn id="21" name="IKTATÓ" dataDxfId="68"/>
    <tableColumn id="22" name="Napelem panel" dataDxfId="67"/>
    <tableColumn id="23" name="AC hossz" dataDxfId="66"/>
    <tableColumn id="24" name="DC hossz" dataDxfId="65"/>
    <tableColumn id="25" name="TRANSZFORMÁTOR" dataDxfId="64"/>
    <tableColumn id="28" name="Keresztmetszet AC" dataDxfId="63"/>
    <tableColumn id="26" name="Keresztmetszet DC" dataDxfId="62"/>
    <tableColumn id="12" name="Kismegszakító" dataDxfId="61"/>
    <tableColumn id="29" name="MÉRÉSI PONTAZONOSÍTÓ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21" totalsRowShown="0" headerRowDxfId="59" dataDxfId="57" headerRowBorderDxfId="58" tableBorderDxfId="56">
  <autoFilter ref="A1:AD21"/>
  <tableColumns count="30">
    <tableColumn id="1" name="Irányítószám" dataDxfId="55"/>
    <tableColumn id="2" name="Település" dataDxfId="54"/>
    <tableColumn id="3" name="Utca, házszám" dataDxfId="53"/>
    <tableColumn id="4" name="Magán/jogi személy" dataDxfId="52"/>
    <tableColumn id="5" name="Rendszerhasználó neve" dataDxfId="51"/>
    <tableColumn id="6" name="Partnerszám" dataDxfId="50"/>
    <tableColumn id="7" name="Felhasználási hely azonsító" dataDxfId="49"/>
    <tableColumn id="8" name="Érintett elszámolási mérő gyári száma" dataDxfId="48"/>
    <tableColumn id="9" name="Jogi személy elnevezése" dataDxfId="47"/>
    <tableColumn id="10" name="Cégjegyzékszám/statisztikai számjel" dataDxfId="46"/>
    <tableColumn id="11" name="Adószám" dataDxfId="45"/>
    <tableColumn id="12" name="Székhely" dataDxfId="44"/>
    <tableColumn id="13" name="Felhasználó elérhetősége telefon" dataDxfId="43"/>
    <tableColumn id="23" name="Felhasználó elérhetősége e-mail" dataDxfId="42"/>
    <tableColumn id="14" name="Felhasználási helyen rendelkezésre álló teljesítmény: (pl. 3x32A, vagy 1x32 A)" dataDxfId="41"/>
    <tableColumn id="15" name="Beépített termelői kapacitás kW-ban" dataDxfId="40"/>
    <tableColumn id="16" name="Termelői kapacitás csatlakoztatása" dataDxfId="39"/>
    <tableColumn id="17" name="Felhasználási helyen alkalmazott érintésvédelmi mód" dataDxfId="38"/>
    <tableColumn id="18" name="DC oldali villamos teljesítménye" dataDxfId="37"/>
    <tableColumn id="19" name="Inverter" dataDxfId="36"/>
    <tableColumn id="20" name="Levelezési cím" dataDxfId="35"/>
    <tableColumn id="21" name="IKTATÓ" dataDxfId="34"/>
    <tableColumn id="22" name="Napelem panel" dataDxfId="33"/>
    <tableColumn id="24" name="AC hossz" dataDxfId="32"/>
    <tableColumn id="25" name="DC hossz" dataDxfId="31"/>
    <tableColumn id="26" name="TRANSZFORMÁTOR" dataDxfId="30"/>
    <tableColumn id="27" name="Keresztmetszet AC" dataDxfId="29"/>
    <tableColumn id="28" name="Keresztmetszet DC" dataDxfId="28"/>
    <tableColumn id="29" name="Kismegszakító" dataDxfId="27"/>
    <tableColumn id="30" name="MÉRÉSI PONTAZONOSÍTÓ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H27" totalsRowShown="0" headerRowDxfId="25">
  <autoFilter ref="A1:AH27"/>
  <tableColumns count="34">
    <tableColumn id="1" name="Irányítószám">
      <calculatedColumnFormula>IFERROR(INDEX(Magánszemély!A:A,MATCH(Táblázat4[[#This Row],[IKTATÓ]],Magánszemély!U:U,0)),IFERROR(INDEX('Jogi személy'!A:A,MATCH(Táblázat4[[#This Row],[IKTATÓ]],'Jogi személy'!V:V,0)),""))</calculatedColumnFormula>
    </tableColumn>
    <tableColumn id="2" name="Település">
      <calculatedColumnFormula>IFERROR(INDEX(Magánszemély!B:B,MATCH(Táblázat4[[#This Row],[IKTATÓ]],Magánszemély!U:U,0)),IFERROR(INDEX('Jogi személy'!B:B,MATCH(Táblázat4[[#This Row],[IKTATÓ]],'Jogi személy'!V:V,0)),""))</calculatedColumnFormula>
    </tableColumn>
    <tableColumn id="3" name="Utca, házszám">
      <calculatedColumnFormula>IFERROR(INDEX(Magánszemély!C:C,MATCH(Táblázat4[[#This Row],[IKTATÓ]],Magánszemély!U:U,0)),IFERROR(INDEX('Jogi személy'!C:C,MATCH(Táblázat4[[#This Row],[IKTATÓ]],'Jogi személy'!V:V,0)),""))</calculatedColumnFormula>
    </tableColumn>
    <tableColumn id="4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name="RENDSZERHASZNÁLÓ NEVE" dataDxfId="24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name="Felhasználási hely azonsító" dataDxfId="23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name="Érintett elszámolási mérő gyári száma" dataDxfId="22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name="Születési név" dataDxfId="21">
      <calculatedColumnFormula>IFERROR(INDEX(Magánszemély!I:I,MATCH(Táblázat4[[#This Row],[IKTATÓ]],Magánszemély!U:U,0)),"")</calculatedColumnFormula>
    </tableColumn>
    <tableColumn id="10" name="Anyja neve:" dataDxfId="20">
      <calculatedColumnFormula>IFERROR(INDEX(Magánszemély!J:J,MATCH(Táblázat4[[#This Row],[IKTATÓ]],Magánszemély!U:U,0)),"")</calculatedColumnFormula>
    </tableColumn>
    <tableColumn id="11" name="Születési hely, dátum" dataDxfId="19">
      <calculatedColumnFormula>IFERROR(INDEX(Magánszemély!K:K,MATCH(Táblázat4[[#This Row],[IKTATÓ]],Magánszemély!U:U,0)),"")</calculatedColumnFormula>
    </tableColumn>
    <tableColumn id="12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name="Inverter" dataDxfId="18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name="IKTATÓ" dataDxfId="17"/>
    <tableColumn id="22" name="Napelem panel" dataDxfId="16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name="AC hossz" dataDxfId="15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name="Transzformátor" dataDxfId="14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name="Keresztmetszet AC" dataDxfId="13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name="Keresztmetszet DC" dataDxfId="12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name="Kismegszakító" dataDxfId="11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name="MÉRÉSI PONT Azonosító" dataDxfId="10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name="Jogi személy elnevezése">
      <calculatedColumnFormula>IFERROR(INDEX('Jogi személy'!I:I,MATCH(Táblázat4[[#This Row],[IKTATÓ]],'Jogi személy'!V:V,0)),"")</calculatedColumnFormula>
    </tableColumn>
    <tableColumn id="29" name="Cégjegyzékszám/statisztikai számjel">
      <calculatedColumnFormula>IFERROR(INDEX('Jogi személy'!J:J,MATCH(Táblázat4[[#This Row],[IKTATÓ]],'Jogi személy'!V:V,0)),"")</calculatedColumnFormula>
    </tableColumn>
    <tableColumn id="30" name="Adószám">
      <calculatedColumnFormula>IFERROR(INDEX('Jogi személy'!K:K,MATCH(Táblázat4[[#This Row],[IKTATÓ]],'Jogi személy'!V:V,0)),"")</calculatedColumnFormula>
    </tableColumn>
    <tableColumn id="31" name="Székhely">
      <calculatedColumnFormula>IFERROR(INDEX('Jogi személy'!L:L,MATCH(Táblázat4[[#This Row],[IKTATÓ]],'Jogi személy'!V:V,0)),"")</calculatedColumnFormula>
    </tableColumn>
    <tableColumn id="34" name="Mappa elérési ú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9" dataDxfId="8">
  <autoFilter ref="A1:H1197"/>
  <tableColumns count="8">
    <tableColumn id="1" name="Gyártó" dataDxfId="7"/>
    <tableColumn id="2" name="Típus" dataDxfId="6"/>
    <tableColumn id="8" name="Összesítőbe" dataDxfId="5">
      <calculatedColumnFormula>CONCATENATE(A:A," ",B:B)</calculatedColumnFormula>
    </tableColumn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tabSelected="1" workbookViewId="0">
      <selection activeCell="B6" sqref="B6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45050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4</v>
      </c>
    </row>
    <row r="6" spans="1:2" x14ac:dyDescent="0.25">
      <c r="A6" t="s">
        <v>21</v>
      </c>
      <c r="B6" s="43" t="s">
        <v>1295</v>
      </c>
    </row>
    <row r="7" spans="1:2" x14ac:dyDescent="0.25">
      <c r="A7" t="s">
        <v>1218</v>
      </c>
      <c r="B7" s="43" t="str">
        <f>INDEX(Összesítő!A:A,MATCH(PANEL!$B$6,Összesítő!U:U,0))</f>
        <v>teszt jogi</v>
      </c>
    </row>
    <row r="8" spans="1:2" x14ac:dyDescent="0.25">
      <c r="A8" t="s">
        <v>1219</v>
      </c>
      <c r="B8" s="43" t="str">
        <f>INDEX(Összesítő!B:B,MATCH(PANEL!$B$6,Összesítő!U:U,0))</f>
        <v>teszt</v>
      </c>
    </row>
    <row r="9" spans="1:2" x14ac:dyDescent="0.25">
      <c r="A9" t="s">
        <v>1220</v>
      </c>
      <c r="B9" s="43" t="str">
        <f>INDEX(Összesítő!C:C,MATCH(PANEL!$B$6,Összesítő!U:U,0))</f>
        <v>teszt</v>
      </c>
    </row>
    <row r="10" spans="1:2" x14ac:dyDescent="0.25">
      <c r="A10" t="s">
        <v>1221</v>
      </c>
      <c r="B10" s="43" t="str">
        <f>INDEX(Összesítő!D:D,MATCH(PANEL!$B$6,Összesítő!U:U,0))</f>
        <v>Jogi személy</v>
      </c>
    </row>
    <row r="11" spans="1:2" x14ac:dyDescent="0.25">
      <c r="A11" t="s">
        <v>1222</v>
      </c>
      <c r="B11" s="42" t="str">
        <f>INDEX(Összesítő!E:E,MATCH(PANEL!$B$6,Összesítő!U:U,0))</f>
        <v>teszt</v>
      </c>
    </row>
    <row r="12" spans="1:2" x14ac:dyDescent="0.25">
      <c r="A12" t="s">
        <v>1217</v>
      </c>
      <c r="B12" s="42" t="str">
        <f>INDEX(Összesítő!F:F,MATCH(PANEL!$B$6,Összesítő!U:U,0))</f>
        <v>teszt</v>
      </c>
    </row>
    <row r="13" spans="1:2" x14ac:dyDescent="0.25">
      <c r="A13" t="s">
        <v>1223</v>
      </c>
      <c r="B13" s="42" t="str">
        <f>INDEX(Összesítő!G:G,MATCH(PANEL!$B$6,Összesítő!U:U,0))</f>
        <v>teszt</v>
      </c>
    </row>
    <row r="14" spans="1:2" x14ac:dyDescent="0.25">
      <c r="A14" t="s">
        <v>1224</v>
      </c>
      <c r="B14" s="42" t="str">
        <f>INDEX(Összesítő!H:H,MATCH(PANEL!$B$6,Összesítő!U:U,0))</f>
        <v>teszt</v>
      </c>
    </row>
    <row r="15" spans="1:2" x14ac:dyDescent="0.25">
      <c r="A15" t="s">
        <v>1225</v>
      </c>
      <c r="B15" s="42" t="str">
        <f>INDEX(Összesítő!I:I,MATCH(PANEL!$B$6,Összesítő!U:U,0))</f>
        <v/>
      </c>
    </row>
    <row r="16" spans="1:2" x14ac:dyDescent="0.25">
      <c r="A16" t="s">
        <v>1226</v>
      </c>
      <c r="B16" s="42" t="str">
        <f>INDEX(Összesítő!J:J,MATCH(PANEL!$B$6,Összesítő!U:U,0))</f>
        <v/>
      </c>
    </row>
    <row r="17" spans="1:2" x14ac:dyDescent="0.25">
      <c r="A17" t="s">
        <v>1227</v>
      </c>
      <c r="B17" s="42" t="str">
        <f>INDEX(Összesítő!K:K,MATCH(PANEL!$B$6,Összesítő!U:U,0))</f>
        <v/>
      </c>
    </row>
    <row r="18" spans="1:2" x14ac:dyDescent="0.25">
      <c r="A18" t="s">
        <v>1228</v>
      </c>
      <c r="B18" s="42" t="str">
        <f>INDEX(Összesítő!L:L,MATCH(PANEL!$B$6,Összesítő!U:U,0))</f>
        <v>teszt</v>
      </c>
    </row>
    <row r="19" spans="1:2" x14ac:dyDescent="0.25">
      <c r="A19" t="s">
        <v>1229</v>
      </c>
      <c r="B19" s="42" t="str">
        <f>INDEX(Összesítő!M:M,MATCH(PANEL!$B$6,Összesítő!U:U,0))</f>
        <v>teszt</v>
      </c>
    </row>
    <row r="20" spans="1:2" x14ac:dyDescent="0.25">
      <c r="A20" t="s">
        <v>1230</v>
      </c>
      <c r="B20" s="42" t="str">
        <f>INDEX(Összesítő!N:N,MATCH(PANEL!$B$6,Összesítő!U:U,0))</f>
        <v>teszt</v>
      </c>
    </row>
    <row r="21" spans="1:2" x14ac:dyDescent="0.25">
      <c r="A21" t="s">
        <v>1231</v>
      </c>
      <c r="B21" s="42" t="str">
        <f>INDEX(Összesítő!O:O,MATCH(PANEL!$B$6,Összesítő!U:U,0))</f>
        <v>teszt</v>
      </c>
    </row>
    <row r="22" spans="1:2" x14ac:dyDescent="0.25">
      <c r="A22" t="s">
        <v>1269</v>
      </c>
      <c r="B22" s="42" t="str">
        <f>INDEX(Összesítő!P:P,MATCH(PANEL!$B$6,Összesítő!U:U,0))</f>
        <v>3 fázis</v>
      </c>
    </row>
    <row r="23" spans="1:2" x14ac:dyDescent="0.25">
      <c r="A23" t="s">
        <v>1232</v>
      </c>
      <c r="B23" s="42" t="str">
        <f>INDEX(Összesítő!Q:Q,MATCH(PANEL!$B$6,Összesítő!U:U,0))</f>
        <v>teszt</v>
      </c>
    </row>
    <row r="24" spans="1:2" x14ac:dyDescent="0.25">
      <c r="A24" t="s">
        <v>1233</v>
      </c>
      <c r="B24" s="42" t="str">
        <f>INDEX(Összesítő!R:R,MATCH(PANEL!$B$6,Összesítő!U:U,0))</f>
        <v>teszt</v>
      </c>
    </row>
    <row r="25" spans="1:2" x14ac:dyDescent="0.25">
      <c r="A25" t="s">
        <v>1234</v>
      </c>
      <c r="B25" s="42" t="str">
        <f>INDEX(Összesítő!S:S,MATCH(PANEL!$B$6,Összesítő!U:U,0))</f>
        <v>tesztinverter</v>
      </c>
    </row>
    <row r="26" spans="1:2" x14ac:dyDescent="0.25">
      <c r="A26" t="s">
        <v>1235</v>
      </c>
      <c r="B26" s="42" t="str">
        <f>INDEX(Összesítő!T:T,MATCH(PANEL!$B$6,Összesítő!U:U,0))</f>
        <v>teszt lev cím</v>
      </c>
    </row>
    <row r="27" spans="1:2" x14ac:dyDescent="0.25">
      <c r="A27" t="s">
        <v>1236</v>
      </c>
      <c r="B27" s="42" t="str">
        <f>INDEX(Összesítő!V:V,MATCH(PANEL!$B$6,Összesítő!U:U,0))</f>
        <v>tesztnapelem</v>
      </c>
    </row>
    <row r="28" spans="1:2" x14ac:dyDescent="0.25">
      <c r="A28" t="s">
        <v>1237</v>
      </c>
      <c r="B28" s="42" t="str">
        <f>INDEX(Összesítő!W:W,MATCH(PANEL!$B$6,Összesítő!U:U,0))</f>
        <v>teszt</v>
      </c>
    </row>
    <row r="29" spans="1:2" x14ac:dyDescent="0.25">
      <c r="A29" t="s">
        <v>1238</v>
      </c>
      <c r="B29" s="42" t="str">
        <f>INDEX(Összesítő!X:X,MATCH(PANEL!$B$6,Összesítő!U:U,0))</f>
        <v>teszt</v>
      </c>
    </row>
    <row r="30" spans="1:2" x14ac:dyDescent="0.25">
      <c r="A30" t="s">
        <v>1213</v>
      </c>
      <c r="B30" s="42" t="str">
        <f>INDEX(Összesítő!Y:Y,MATCH(PANEL!$B$6,Összesítő!U:U,0))</f>
        <v>teszt</v>
      </c>
    </row>
    <row r="31" spans="1:2" x14ac:dyDescent="0.25">
      <c r="A31" t="s">
        <v>1239</v>
      </c>
      <c r="B31" s="42" t="str">
        <f>INDEX(Összesítő!Z:Z,MATCH(PANEL!$B$6,Összesítő!U:U,0))</f>
        <v>teszt</v>
      </c>
    </row>
    <row r="32" spans="1:2" x14ac:dyDescent="0.25">
      <c r="A32" t="s">
        <v>1240</v>
      </c>
      <c r="B32" s="42">
        <f>INDEX(Összesítő!AA:AA,MATCH(PANEL!$B$6,Összesítő!U:U,0))</f>
        <v>0</v>
      </c>
    </row>
    <row r="33" spans="1:2" x14ac:dyDescent="0.25">
      <c r="A33" t="s">
        <v>1241</v>
      </c>
      <c r="B33" s="42">
        <f>INDEX(Összesítő!AB:AB,MATCH(PANEL!$B$6,Összesítő!U:U,0))</f>
        <v>0</v>
      </c>
    </row>
    <row r="34" spans="1:2" x14ac:dyDescent="0.25">
      <c r="A34" t="s">
        <v>1249</v>
      </c>
      <c r="B34" s="42">
        <f>INDEX(Összesítő!AC:AC,MATCH(PANEL!$B$6,Összesítő!U:U,0))</f>
        <v>0</v>
      </c>
    </row>
    <row r="35" spans="1:2" x14ac:dyDescent="0.25">
      <c r="A35" t="s">
        <v>1242</v>
      </c>
      <c r="B35" s="42" t="str">
        <f>INDEX(Összesítő!AD:AD,MATCH(PANEL!$B$6,Összesítő!U:U,0))</f>
        <v>teszt</v>
      </c>
    </row>
    <row r="36" spans="1:2" x14ac:dyDescent="0.25">
      <c r="A36" t="s">
        <v>1243</v>
      </c>
      <c r="B36" s="42" t="str">
        <f>INDEX(Összesítő!AE:AE,MATCH(PANEL!$B$6,Összesítő!U:U,0))</f>
        <v>teszt</v>
      </c>
    </row>
    <row r="37" spans="1:2" x14ac:dyDescent="0.25">
      <c r="A37" t="s">
        <v>1244</v>
      </c>
      <c r="B37" s="42" t="str">
        <f>INDEX(Összesítő!AF:AF,MATCH(PANEL!$B$6,Összesítő!U:U,0))</f>
        <v>teszt</v>
      </c>
    </row>
    <row r="38" spans="1:2" x14ac:dyDescent="0.25">
      <c r="A38" t="s">
        <v>1245</v>
      </c>
      <c r="B38" s="42" t="str">
        <f>INDEX(Összesítő!AG:AG,MATCH(PANEL!$B$6,Összesítő!U:U,0))</f>
        <v>teszt</v>
      </c>
    </row>
    <row r="39" spans="1:2" x14ac:dyDescent="0.25">
      <c r="A39" t="s">
        <v>1250</v>
      </c>
      <c r="B39" s="42" t="str">
        <f>IFERROR(INDEX(Összesítő!AH:AH,MATCH(PANEL!$B$6,Összesítő!U:U,0)),"./")</f>
        <v>c:\suncollector\word_automation\GREEN DEALER\3-GREEN DEALER-2023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2"/>
  <sheetViews>
    <sheetView workbookViewId="0">
      <selection activeCell="E2" sqref="E2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9" max="9" width="35.8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3" t="s">
        <v>42</v>
      </c>
      <c r="N1" s="3" t="s">
        <v>30</v>
      </c>
      <c r="O1" s="3" t="s">
        <v>47</v>
      </c>
      <c r="P1" s="3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38</v>
      </c>
      <c r="W1" s="10" t="s">
        <v>39</v>
      </c>
      <c r="X1" s="10" t="s">
        <v>40</v>
      </c>
      <c r="Y1" s="10" t="s">
        <v>1213</v>
      </c>
      <c r="Z1" s="10" t="s">
        <v>50</v>
      </c>
      <c r="AA1" s="10" t="s">
        <v>51</v>
      </c>
      <c r="AB1" s="10" t="s">
        <v>41</v>
      </c>
      <c r="AC1" s="10" t="s">
        <v>1214</v>
      </c>
    </row>
    <row r="2" spans="1:29" x14ac:dyDescent="0.25">
      <c r="A2" s="4" t="s">
        <v>1251</v>
      </c>
      <c r="B2" s="4" t="s">
        <v>1252</v>
      </c>
      <c r="C2" s="4" t="s">
        <v>1253</v>
      </c>
      <c r="D2" s="4" t="s">
        <v>1254</v>
      </c>
      <c r="E2" s="4" t="s">
        <v>1255</v>
      </c>
      <c r="F2" s="4" t="s">
        <v>1256</v>
      </c>
      <c r="G2" s="4" t="s">
        <v>1257</v>
      </c>
      <c r="H2" s="4" t="s">
        <v>1254</v>
      </c>
      <c r="I2" s="4" t="s">
        <v>1258</v>
      </c>
      <c r="J2" s="4" t="s">
        <v>1259</v>
      </c>
      <c r="K2" s="4" t="s">
        <v>1260</v>
      </c>
      <c r="L2" s="4" t="s">
        <v>1261</v>
      </c>
      <c r="M2" s="4" t="s">
        <v>1262</v>
      </c>
      <c r="N2" s="4" t="s">
        <v>1263</v>
      </c>
      <c r="O2" s="4" t="s">
        <v>1264</v>
      </c>
      <c r="P2" s="4" t="s">
        <v>1265</v>
      </c>
      <c r="Q2" s="4" t="s">
        <v>1266</v>
      </c>
      <c r="R2" s="4" t="s">
        <v>1265</v>
      </c>
      <c r="S2" s="4" t="s">
        <v>1265</v>
      </c>
      <c r="T2" s="4" t="s">
        <v>1265</v>
      </c>
      <c r="U2" s="9" t="s">
        <v>1267</v>
      </c>
      <c r="V2" s="9" t="s">
        <v>1265</v>
      </c>
      <c r="W2" s="9" t="s">
        <v>1265</v>
      </c>
      <c r="X2" s="9" t="s">
        <v>1265</v>
      </c>
      <c r="Y2" s="9" t="s">
        <v>1265</v>
      </c>
      <c r="Z2" s="9" t="s">
        <v>1265</v>
      </c>
      <c r="AA2" s="9" t="s">
        <v>1265</v>
      </c>
      <c r="AB2" s="6"/>
      <c r="AC2" s="6"/>
    </row>
    <row r="3" spans="1:29" x14ac:dyDescent="0.25">
      <c r="A3" s="4" t="s">
        <v>1272</v>
      </c>
      <c r="B3" s="4" t="s">
        <v>1273</v>
      </c>
      <c r="C3" s="4" t="s">
        <v>1274</v>
      </c>
      <c r="D3" s="4" t="s">
        <v>1254</v>
      </c>
      <c r="E3" s="4" t="s">
        <v>1275</v>
      </c>
      <c r="F3" s="4" t="s">
        <v>1276</v>
      </c>
      <c r="G3" s="4" t="s">
        <v>1277</v>
      </c>
      <c r="H3" s="5" t="s">
        <v>1278</v>
      </c>
      <c r="I3" s="4" t="s">
        <v>1279</v>
      </c>
      <c r="J3" s="6" t="s">
        <v>1280</v>
      </c>
      <c r="K3" s="5" t="s">
        <v>1281</v>
      </c>
      <c r="L3" s="7" t="s">
        <v>1282</v>
      </c>
      <c r="M3" s="7" t="s">
        <v>1283</v>
      </c>
      <c r="N3" s="6" t="s">
        <v>1284</v>
      </c>
      <c r="O3" s="4" t="s">
        <v>1285</v>
      </c>
      <c r="P3" s="6" t="s">
        <v>1266</v>
      </c>
      <c r="Q3" s="6" t="s">
        <v>1286</v>
      </c>
      <c r="R3" s="8" t="s">
        <v>1287</v>
      </c>
      <c r="S3" s="6" t="s">
        <v>1265</v>
      </c>
      <c r="T3" s="4" t="s">
        <v>1288</v>
      </c>
      <c r="U3" s="9" t="s">
        <v>1270</v>
      </c>
      <c r="V3" s="9" t="s">
        <v>1289</v>
      </c>
      <c r="W3" s="9" t="s">
        <v>1265</v>
      </c>
      <c r="X3" s="9" t="s">
        <v>1290</v>
      </c>
      <c r="Y3" s="9" t="s">
        <v>1265</v>
      </c>
      <c r="Z3" s="9" t="s">
        <v>1265</v>
      </c>
      <c r="AA3" s="9" t="s">
        <v>1265</v>
      </c>
      <c r="AB3" s="6" t="s">
        <v>1291</v>
      </c>
      <c r="AC3" s="6" t="s">
        <v>1292</v>
      </c>
    </row>
    <row r="4" spans="1:29" x14ac:dyDescent="0.25">
      <c r="A4" s="4"/>
      <c r="B4" s="4"/>
      <c r="C4" s="4"/>
      <c r="D4" s="4"/>
      <c r="E4" s="4"/>
      <c r="F4" s="4"/>
      <c r="G4" s="4"/>
      <c r="H4" s="5"/>
      <c r="I4" s="4"/>
      <c r="J4" s="36"/>
      <c r="K4" s="5"/>
      <c r="L4" s="37"/>
      <c r="N4" s="36"/>
      <c r="O4" s="4"/>
      <c r="P4" s="36"/>
      <c r="Q4" s="36"/>
      <c r="R4" s="38"/>
      <c r="S4" s="36"/>
      <c r="T4" s="4"/>
      <c r="U4" s="36"/>
      <c r="V4" s="36"/>
      <c r="W4" s="36"/>
      <c r="X4" s="36"/>
      <c r="Y4" s="36"/>
      <c r="Z4" s="36"/>
      <c r="AA4" s="36"/>
      <c r="AB4" s="6"/>
      <c r="AC4" s="6"/>
    </row>
    <row r="5" spans="1:29" x14ac:dyDescent="0.25">
      <c r="A5" s="4"/>
      <c r="B5" s="4"/>
      <c r="C5" s="4"/>
      <c r="D5" s="4"/>
      <c r="E5" s="4"/>
      <c r="F5" s="4"/>
      <c r="G5" s="4"/>
      <c r="H5" s="5"/>
      <c r="I5" s="4"/>
      <c r="J5" s="6"/>
      <c r="K5" s="5"/>
      <c r="L5" s="7"/>
      <c r="N5" s="6"/>
      <c r="O5" s="4"/>
      <c r="P5" s="6"/>
      <c r="Q5" s="6"/>
      <c r="R5" s="8"/>
      <c r="S5" s="6"/>
      <c r="T5" s="4"/>
      <c r="U5" s="6"/>
      <c r="V5" s="6"/>
      <c r="W5" s="6"/>
      <c r="X5" s="6"/>
      <c r="Y5" s="6"/>
      <c r="Z5" s="6"/>
      <c r="AA5" s="6"/>
      <c r="AB5" s="6"/>
      <c r="AC5" s="6"/>
    </row>
    <row r="6" spans="1:29" x14ac:dyDescent="0.25">
      <c r="A6" s="4"/>
      <c r="B6" s="4"/>
      <c r="C6" s="4"/>
      <c r="D6" s="4"/>
      <c r="E6" s="4"/>
      <c r="F6" s="4"/>
      <c r="G6" s="4"/>
      <c r="H6" s="5"/>
      <c r="I6" s="4"/>
      <c r="J6" s="6"/>
      <c r="K6" s="5"/>
      <c r="L6" s="7"/>
      <c r="N6" s="6"/>
      <c r="O6" s="4"/>
      <c r="P6" s="6"/>
      <c r="Q6" s="6"/>
      <c r="R6" s="8"/>
      <c r="S6" s="6"/>
      <c r="T6" s="4"/>
      <c r="U6" s="6"/>
      <c r="V6" s="6"/>
      <c r="W6" s="6"/>
      <c r="X6" s="6"/>
      <c r="Y6" s="6"/>
      <c r="Z6" s="6"/>
      <c r="AA6" s="6"/>
      <c r="AB6" s="6"/>
      <c r="AC6" s="6"/>
    </row>
    <row r="7" spans="1:29" x14ac:dyDescent="0.25">
      <c r="A7" s="4"/>
      <c r="B7" s="4"/>
      <c r="C7" s="4"/>
      <c r="D7" s="4"/>
      <c r="E7" s="4"/>
      <c r="F7" s="4"/>
      <c r="G7" s="4"/>
      <c r="H7" s="5"/>
      <c r="I7" s="4"/>
      <c r="J7" s="6"/>
      <c r="K7" s="5"/>
      <c r="L7" s="7"/>
      <c r="N7" s="6"/>
      <c r="O7" s="4"/>
      <c r="P7" s="6"/>
      <c r="Q7" s="6"/>
      <c r="R7" s="8"/>
      <c r="S7" s="6"/>
      <c r="T7" s="4"/>
      <c r="U7" s="6"/>
      <c r="V7" s="6"/>
      <c r="W7" s="6"/>
      <c r="X7" s="6"/>
      <c r="Y7" s="6"/>
      <c r="Z7" s="6"/>
      <c r="AA7" s="6"/>
      <c r="AB7" s="6"/>
      <c r="AC7" s="6"/>
    </row>
    <row r="8" spans="1:29" x14ac:dyDescent="0.25">
      <c r="A8" s="4"/>
      <c r="B8" s="4"/>
      <c r="C8" s="4"/>
      <c r="D8" s="4"/>
      <c r="E8" s="4"/>
      <c r="F8" s="4"/>
      <c r="G8" s="4"/>
      <c r="H8" s="5"/>
      <c r="I8" s="4"/>
      <c r="J8" s="6"/>
      <c r="K8" s="5"/>
      <c r="L8" s="7"/>
      <c r="N8" s="6"/>
      <c r="O8" s="4"/>
      <c r="P8" s="6"/>
      <c r="Q8" s="6"/>
      <c r="R8" s="8"/>
      <c r="S8" s="6"/>
      <c r="T8" s="4"/>
      <c r="U8" s="6"/>
      <c r="V8" s="6"/>
      <c r="W8" s="6"/>
      <c r="X8" s="6"/>
      <c r="Y8" s="6"/>
      <c r="Z8" s="6"/>
      <c r="AA8" s="6"/>
      <c r="AB8" s="6"/>
      <c r="AC8" s="6"/>
    </row>
    <row r="9" spans="1:29" x14ac:dyDescent="0.25">
      <c r="A9" s="4"/>
      <c r="B9" s="4"/>
      <c r="C9" s="4"/>
      <c r="D9" s="4"/>
      <c r="E9" s="4"/>
      <c r="F9" s="4"/>
      <c r="G9" s="4"/>
      <c r="H9" s="5"/>
      <c r="I9" s="4"/>
      <c r="J9" s="6"/>
      <c r="K9" s="5"/>
      <c r="L9" s="7"/>
      <c r="N9" s="6"/>
      <c r="O9" s="4"/>
      <c r="P9" s="6"/>
      <c r="Q9" s="6"/>
      <c r="R9" s="8"/>
      <c r="S9" s="6"/>
      <c r="T9" s="4"/>
      <c r="U9" s="6"/>
      <c r="V9" s="6"/>
      <c r="W9" s="6"/>
      <c r="X9" s="6"/>
      <c r="Y9" s="6"/>
      <c r="Z9" s="6"/>
      <c r="AA9" s="6"/>
      <c r="AB9" s="6"/>
      <c r="AC9" s="6"/>
    </row>
    <row r="10" spans="1:29" x14ac:dyDescent="0.25">
      <c r="A10" s="4"/>
      <c r="B10" s="4"/>
      <c r="C10" s="4"/>
      <c r="D10" s="4"/>
      <c r="E10" s="4"/>
      <c r="F10" s="4"/>
      <c r="G10" s="4"/>
      <c r="H10" s="5"/>
      <c r="I10" s="4"/>
      <c r="J10" s="6"/>
      <c r="K10" s="5"/>
      <c r="L10" s="7"/>
      <c r="N10" s="6"/>
      <c r="O10" s="4"/>
      <c r="P10" s="6"/>
      <c r="Q10" s="6"/>
      <c r="R10" s="8"/>
      <c r="S10" s="6"/>
      <c r="T10" s="4"/>
      <c r="U10" s="6"/>
      <c r="V10" s="6"/>
      <c r="W10" s="6"/>
      <c r="X10" s="6"/>
      <c r="Y10" s="6"/>
      <c r="Z10" s="6"/>
      <c r="AA10" s="6"/>
      <c r="AB10" s="6"/>
      <c r="AC10" s="6"/>
    </row>
    <row r="11" spans="1:29" x14ac:dyDescent="0.25">
      <c r="A11" s="4"/>
      <c r="B11" s="4"/>
      <c r="C11" s="4"/>
      <c r="D11" s="4"/>
      <c r="E11" s="4"/>
      <c r="F11" s="4"/>
      <c r="G11" s="4"/>
      <c r="H11" s="5"/>
      <c r="I11" s="4"/>
      <c r="J11" s="6"/>
      <c r="K11" s="5"/>
      <c r="L11" s="7"/>
      <c r="N11" s="6"/>
      <c r="O11" s="4"/>
      <c r="P11" s="6"/>
      <c r="Q11" s="6"/>
      <c r="R11" s="8"/>
      <c r="S11" s="6"/>
      <c r="T11" s="4"/>
      <c r="U11" s="6"/>
      <c r="V11" s="6"/>
      <c r="W11" s="6"/>
      <c r="X11" s="6"/>
      <c r="Y11" s="6"/>
      <c r="Z11" s="6"/>
      <c r="AA11" s="6"/>
      <c r="AB11" s="6"/>
      <c r="AC11" s="6"/>
    </row>
    <row r="12" spans="1:29" x14ac:dyDescent="0.25">
      <c r="A12" s="4"/>
      <c r="B12" s="4"/>
      <c r="C12" s="4"/>
      <c r="D12" s="4"/>
      <c r="E12" s="4"/>
      <c r="F12" s="4"/>
      <c r="G12" s="4"/>
      <c r="H12" s="5"/>
      <c r="I12" s="4"/>
      <c r="J12" s="36"/>
      <c r="K12" s="5"/>
      <c r="L12" s="37"/>
      <c r="N12" s="36"/>
      <c r="O12" s="4"/>
      <c r="P12" s="36"/>
      <c r="Q12" s="36"/>
      <c r="R12" s="38"/>
      <c r="S12" s="36"/>
      <c r="T12" s="4"/>
      <c r="U12" s="36"/>
      <c r="V12" s="36"/>
      <c r="W12" s="36"/>
      <c r="X12" s="36"/>
      <c r="Y12" s="36"/>
      <c r="Z12" s="36"/>
      <c r="AA12" s="36"/>
      <c r="AB12" s="36"/>
      <c r="AC12" s="3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topLeftCell="R1" workbookViewId="0">
      <selection activeCell="W7" sqref="W7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43</v>
      </c>
      <c r="I1" s="15" t="s">
        <v>34</v>
      </c>
      <c r="J1" s="15" t="s">
        <v>35</v>
      </c>
      <c r="K1" s="15" t="s">
        <v>36</v>
      </c>
      <c r="L1" s="15" t="s">
        <v>37</v>
      </c>
      <c r="M1" s="15" t="s">
        <v>46</v>
      </c>
      <c r="N1" s="15" t="s">
        <v>42</v>
      </c>
      <c r="O1" s="15" t="s">
        <v>30</v>
      </c>
      <c r="P1" s="15" t="s">
        <v>47</v>
      </c>
      <c r="Q1" s="15" t="s">
        <v>48</v>
      </c>
      <c r="R1" s="15" t="s">
        <v>49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38</v>
      </c>
      <c r="X1" s="10" t="s">
        <v>39</v>
      </c>
      <c r="Y1" s="10" t="s">
        <v>40</v>
      </c>
      <c r="Z1" s="10" t="s">
        <v>1213</v>
      </c>
      <c r="AA1" s="10" t="s">
        <v>50</v>
      </c>
      <c r="AB1" s="10" t="s">
        <v>51</v>
      </c>
      <c r="AC1" s="39" t="s">
        <v>41</v>
      </c>
      <c r="AD1" s="39" t="s">
        <v>1214</v>
      </c>
    </row>
    <row r="2" spans="1:30" x14ac:dyDescent="0.25">
      <c r="A2" s="4" t="s">
        <v>1297</v>
      </c>
      <c r="B2" s="4" t="s">
        <v>1265</v>
      </c>
      <c r="C2" s="4" t="s">
        <v>1265</v>
      </c>
      <c r="D2" s="4" t="s">
        <v>1298</v>
      </c>
      <c r="E2" s="4" t="s">
        <v>1265</v>
      </c>
      <c r="F2" s="4" t="s">
        <v>1265</v>
      </c>
      <c r="G2" s="4" t="s">
        <v>1265</v>
      </c>
      <c r="H2" s="4" t="s">
        <v>1265</v>
      </c>
      <c r="I2" s="4" t="s">
        <v>1265</v>
      </c>
      <c r="J2" s="4" t="s">
        <v>1265</v>
      </c>
      <c r="K2" s="4" t="s">
        <v>1265</v>
      </c>
      <c r="L2" s="4" t="s">
        <v>1265</v>
      </c>
      <c r="M2" s="4" t="s">
        <v>1265</v>
      </c>
      <c r="N2" s="4" t="s">
        <v>1265</v>
      </c>
      <c r="O2" s="4" t="s">
        <v>1265</v>
      </c>
      <c r="P2" s="4" t="s">
        <v>1265</v>
      </c>
      <c r="Q2" s="4" t="s">
        <v>1299</v>
      </c>
      <c r="R2" s="4" t="s">
        <v>1265</v>
      </c>
      <c r="S2" s="4" t="s">
        <v>1265</v>
      </c>
      <c r="T2" s="4" t="s">
        <v>1300</v>
      </c>
      <c r="U2" s="4" t="s">
        <v>1301</v>
      </c>
      <c r="V2" s="4" t="s">
        <v>1295</v>
      </c>
      <c r="W2" s="4" t="s">
        <v>1302</v>
      </c>
      <c r="X2" s="4" t="s">
        <v>1265</v>
      </c>
      <c r="Y2" s="4" t="s">
        <v>1265</v>
      </c>
      <c r="Z2" s="4" t="s">
        <v>1265</v>
      </c>
      <c r="AA2" s="4" t="s">
        <v>1265</v>
      </c>
      <c r="AB2" s="4"/>
      <c r="AC2" s="4"/>
      <c r="AD2" s="4"/>
    </row>
    <row r="3" spans="1:30" x14ac:dyDescent="0.25">
      <c r="A3" s="4" t="s">
        <v>1297</v>
      </c>
      <c r="B3" s="4" t="s">
        <v>1265</v>
      </c>
      <c r="C3" s="4" t="s">
        <v>1265</v>
      </c>
      <c r="D3" s="4" t="s">
        <v>1298</v>
      </c>
      <c r="E3" s="4" t="s">
        <v>1265</v>
      </c>
      <c r="F3" s="4" t="s">
        <v>1265</v>
      </c>
      <c r="G3" s="4" t="s">
        <v>1265</v>
      </c>
      <c r="H3" s="4" t="s">
        <v>1265</v>
      </c>
      <c r="I3" s="4" t="s">
        <v>1265</v>
      </c>
      <c r="J3" s="4" t="s">
        <v>1265</v>
      </c>
      <c r="K3" s="4" t="s">
        <v>1265</v>
      </c>
      <c r="L3" s="4" t="s">
        <v>1265</v>
      </c>
      <c r="M3" s="4" t="s">
        <v>1265</v>
      </c>
      <c r="N3" s="4" t="s">
        <v>1265</v>
      </c>
      <c r="O3" s="4" t="s">
        <v>1265</v>
      </c>
      <c r="P3" s="4" t="s">
        <v>1265</v>
      </c>
      <c r="Q3" s="4" t="s">
        <v>1299</v>
      </c>
      <c r="R3" s="4" t="s">
        <v>1265</v>
      </c>
      <c r="S3" s="4" t="s">
        <v>1265</v>
      </c>
      <c r="T3" s="4" t="s">
        <v>1300</v>
      </c>
      <c r="U3" s="4" t="s">
        <v>1301</v>
      </c>
      <c r="V3" s="4" t="s">
        <v>1295</v>
      </c>
      <c r="W3" s="4" t="s">
        <v>1302</v>
      </c>
      <c r="X3" s="4" t="s">
        <v>1265</v>
      </c>
      <c r="Y3" s="4" t="s">
        <v>1265</v>
      </c>
      <c r="Z3" s="4" t="s">
        <v>1265</v>
      </c>
      <c r="AA3" s="4" t="s">
        <v>1265</v>
      </c>
      <c r="AB3" s="4"/>
      <c r="AC3" s="4"/>
      <c r="AD3" s="4"/>
    </row>
    <row r="4" spans="1:30" x14ac:dyDescent="0.25">
      <c r="A4" s="4" t="s">
        <v>1297</v>
      </c>
      <c r="B4" s="4" t="s">
        <v>1265</v>
      </c>
      <c r="C4" s="4" t="s">
        <v>1265</v>
      </c>
      <c r="D4" s="4" t="s">
        <v>1298</v>
      </c>
      <c r="E4" s="4" t="s">
        <v>1265</v>
      </c>
      <c r="F4" s="4" t="s">
        <v>1265</v>
      </c>
      <c r="G4" s="4" t="s">
        <v>1265</v>
      </c>
      <c r="H4" s="4" t="s">
        <v>1265</v>
      </c>
      <c r="I4" s="4" t="s">
        <v>1265</v>
      </c>
      <c r="J4" s="4" t="s">
        <v>1265</v>
      </c>
      <c r="K4" s="4" t="s">
        <v>1265</v>
      </c>
      <c r="L4" s="4" t="s">
        <v>1265</v>
      </c>
      <c r="M4" s="4" t="s">
        <v>1265</v>
      </c>
      <c r="N4" s="4" t="s">
        <v>1265</v>
      </c>
      <c r="O4" s="4" t="s">
        <v>1265</v>
      </c>
      <c r="P4" s="4" t="s">
        <v>1265</v>
      </c>
      <c r="Q4" s="4" t="s">
        <v>1299</v>
      </c>
      <c r="R4" s="4" t="s">
        <v>1265</v>
      </c>
      <c r="S4" s="4" t="s">
        <v>1265</v>
      </c>
      <c r="T4" s="4" t="s">
        <v>1300</v>
      </c>
      <c r="U4" s="4" t="s">
        <v>1301</v>
      </c>
      <c r="V4" s="4" t="s">
        <v>1295</v>
      </c>
      <c r="W4" s="4" t="s">
        <v>1302</v>
      </c>
      <c r="X4" s="4" t="s">
        <v>1265</v>
      </c>
      <c r="Y4" s="4" t="s">
        <v>1265</v>
      </c>
      <c r="Z4" s="4" t="s">
        <v>1265</v>
      </c>
      <c r="AA4" s="4" t="s">
        <v>1265</v>
      </c>
      <c r="AB4" s="4"/>
      <c r="AC4" s="4"/>
      <c r="AD4" s="4"/>
    </row>
    <row r="5" spans="1:30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27"/>
  <sheetViews>
    <sheetView topLeftCell="V1" zoomScaleNormal="100" workbookViewId="0">
      <selection activeCell="AH3" sqref="AH3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</cols>
  <sheetData>
    <row r="1" spans="1:34" ht="31.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1216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11" t="s">
        <v>42</v>
      </c>
      <c r="N1" s="11" t="s">
        <v>30</v>
      </c>
      <c r="O1" s="11" t="s">
        <v>47</v>
      </c>
      <c r="P1" s="11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38</v>
      </c>
      <c r="W1" s="3" t="s">
        <v>39</v>
      </c>
      <c r="X1" s="3" t="s">
        <v>40</v>
      </c>
      <c r="Y1" s="3" t="s">
        <v>1246</v>
      </c>
      <c r="Z1" s="3" t="s">
        <v>50</v>
      </c>
      <c r="AA1" s="10" t="s">
        <v>51</v>
      </c>
      <c r="AB1" s="10" t="s">
        <v>41</v>
      </c>
      <c r="AC1" s="10" t="s">
        <v>1247</v>
      </c>
      <c r="AD1" s="10" t="s">
        <v>34</v>
      </c>
      <c r="AE1" s="10" t="s">
        <v>35</v>
      </c>
      <c r="AF1" s="10" t="s">
        <v>36</v>
      </c>
      <c r="AG1" s="10" t="s">
        <v>37</v>
      </c>
      <c r="AH1" s="40" t="s">
        <v>1248</v>
      </c>
    </row>
    <row r="2" spans="1:34" x14ac:dyDescent="0.25">
      <c r="A2" t="str">
        <f>IFERROR(INDEX(Magánszemély!A:A,MATCH(Táblázat4[[#This Row],[IKTATÓ]],Magánszemély!U:U,0)),IFERROR(INDEX('Jogi személy'!A:A,MATCH(Táblázat4[[#This Row],[IKTATÓ]],'Jogi személy'!V:V,0)),""))</f>
        <v>teszt magán Robinak mutatom</v>
      </c>
      <c r="B2" t="str">
        <f>IFERROR(INDEX(Magánszemély!B:B,MATCH(Táblázat4[[#This Row],[IKTATÓ]],Magánszemély!U:U,0)),IFERROR(INDEX('Jogi személy'!B:B,MATCH(Táblázat4[[#This Row],[IKTATÓ]],'Jogi személy'!V:V,0)),""))</f>
        <v>az</v>
      </c>
      <c r="C2" t="str">
        <f>IFERROR(INDEX(Magánszemély!C:C,MATCH(Táblázat4[[#This Row],[IKTATÓ]],Magánszemély!U:U,0)),IFERROR(INDEX('Jogi személy'!C:C,MATCH(Táblázat4[[#This Row],[IKTATÓ]],'Jogi személy'!V:V,0)),""))</f>
        <v>volt a</v>
      </c>
      <c r="D2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2" t="str">
        <f>IFERROR(INDEX(Magánszemély!E:E,MATCH(Táblázat4[[#This Row],[IKTATÓ]],Magánszemély!U:U,0)),IFERROR(INDEX('Jogi személy'!E:E,MATCH(Táblázat4[[#This Row],[IKTATÓ]],'Jogi személy'!V:V,0)),""))</f>
        <v>baj</v>
      </c>
      <c r="F2" t="str">
        <f>IFERROR(INDEX(Magánszemély!F:F,MATCH(Táblázat4[[#This Row],[IKTATÓ]],Magánszemély!U:U,0)),IFERROR(INDEX('Jogi személy'!F:F,MATCH(Táblázat4[[#This Row],[IKTATÓ]],'Jogi személy'!V:V,0)),""))</f>
        <v>hogy</v>
      </c>
      <c r="G2" t="str">
        <f>IFERROR(INDEX(Magánszemély!G:G,MATCH(Táblázat4[[#This Row],[IKTATÓ]],Magánszemély!U:U,0)),IFERROR(INDEX('Jogi személy'!G:G,MATCH(Táblázat4[[#This Row],[IKTATÓ]],'Jogi személy'!V:V,0)),""))</f>
        <v>nagy M a</v>
      </c>
      <c r="H2" t="str">
        <f>IFERROR(INDEX(Magánszemély!H:H,MATCH(Táblázat4[[#This Row],[IKTATÓ]],Magánszemély!U:U,0)),IFERROR(INDEX('Jogi személy'!H:H,MATCH(Táblázat4[[#This Row],[IKTATÓ]],'Jogi személy'!V:V,0)),""))</f>
        <v>Magánszemély</v>
      </c>
      <c r="I2" t="str">
        <f>IFERROR(INDEX(Magánszemély!I:I,MATCH(Táblázat4[[#This Row],[IKTATÓ]],Magánszemély!U:U,0)),"")</f>
        <v>mindenhol (D oszlop is, meg a lap neve is)</v>
      </c>
      <c r="J2" t="str">
        <f>IFERROR(INDEX(Magánszemély!J:J,MATCH(Táblázat4[[#This Row],[IKTATÓ]],Magánszemély!U:U,0)),"")</f>
        <v>kódban</v>
      </c>
      <c r="K2" t="str">
        <f>IFERROR(INDEX(Magánszemély!K:K,MATCH(Táblázat4[[#This Row],[IKTATÓ]],Magánszemély!U:U,0)),"")</f>
        <v xml:space="preserve">de </v>
      </c>
      <c r="L2" t="str">
        <f>IFERROR(INDEX(Magánszemély!L:L,MATCH(Táblázat4[[#This Row],[IKTATÓ]],Magánszemély!U:U,0)),IFERROR(INDEX('Jogi személy'!M:M,MATCH(Táblázat4[[#This Row],[IKTATÓ]],'Jogi személy'!V:V,0)),""))</f>
        <v xml:space="preserve">ezzel a </v>
      </c>
      <c r="M2" t="str">
        <f>IFERROR(INDEX(Magánszemély!M:M,MATCH(Táblázat4[[#This Row],[IKTATÓ]],Magánszemély!U:U,0)),IFERROR(INDEX('Jogi személy'!N:N,MATCH(Táblázat4[[#This Row],[IKTATÓ]],'Jogi személy'!V:V,0)),""))</f>
        <v>templattel</v>
      </c>
      <c r="N2" t="str">
        <f>IFERROR(INDEX(Magánszemély!N:N,MATCH(Táblázat4[[#This Row],[IKTATÓ]],Magánszemély!U:U,0)),IFERROR(INDEX('Jogi személy'!O:O,MATCH(Táblázat4[[#This Row],[IKTATÓ]],'Jogi személy'!V:V,0)),""))</f>
        <v>jó</v>
      </c>
      <c r="O2" t="str">
        <f>IFERROR(INDEX(Magánszemély!O:O,MATCH(Táblázat4[[#This Row],[IKTATÓ]],Magánszemély!U:U,0)),IFERROR(INDEX('Jogi személy'!P:P,MATCH(Táblázat4[[#This Row],[IKTATÓ]],'Jogi személy'!V:V,0)),""))</f>
        <v>lesz</v>
      </c>
      <c r="P2" t="str">
        <f>IFERROR(INDEX(Magánszemély!P:P,MATCH(Táblázat4[[#This Row],[IKTATÓ]],Magánszemély!U:U,0)),IFERROR(INDEX('Jogi személy'!Q:Q,MATCH(Táblázat4[[#This Row],[IKTATÓ]],'Jogi személy'!V:V,0)),""))</f>
        <v>teszt</v>
      </c>
      <c r="Q2" t="str">
        <f>IFERROR(INDEX(Magánszemély!Q:Q,MATCH(Táblázat4[[#This Row],[IKTATÓ]],Magánszemély!U:U,0)),IFERROR(INDEX('Jogi személy'!R:R,MATCH(Táblázat4[[#This Row],[IKTATÓ]],'Jogi személy'!V:V,0)),""))</f>
        <v>1 fázis</v>
      </c>
      <c r="R2" t="str">
        <f>IFERROR(INDEX(Magánszemély!R:R,MATCH(Táblázat4[[#This Row],[IKTATÓ]],Magánszemély!U:U,0)),IFERROR(INDEX('Jogi személy'!S:S,MATCH(Táblázat4[[#This Row],[IKTATÓ]],'Jogi személy'!V:V,0)),""))</f>
        <v>teszt</v>
      </c>
      <c r="S2" t="s">
        <v>1294</v>
      </c>
      <c r="T2" t="str">
        <f>IFERROR(INDEX(Magánszemély!T:T,MATCH(Táblázat4[[#This Row],[IKTATÓ]],Magánszemély!U:U,0)),IFERROR(INDEX('Jogi személy'!U:U,MATCH(Táblázat4[[#This Row],[IKTATÓ]],'Jogi személy'!V:V,0)),""))</f>
        <v>teszt</v>
      </c>
      <c r="U2" t="s">
        <v>1267</v>
      </c>
      <c r="V2" t="str">
        <f>IFERROR(INDEX(Magánszemély!V:V,MATCH(Táblázat4[[#This Row],[IKTATÓ]],Magánszemély!U:U,0)),IFERROR(INDEX('Jogi személy'!W:W,MATCH(Táblázat4[[#This Row],[IKTATÓ]],'Jogi személy'!V:V,0)),""))</f>
        <v>teszt</v>
      </c>
      <c r="W2" t="str">
        <f>IFERROR(INDEX(Magánszemély!W:W,MATCH(Táblázat4[[#This Row],[IKTATÓ]],Magánszemély!U:U,0)),IFERROR(INDEX('Jogi személy'!X:X,MATCH(Táblázat4[[#This Row],[IKTATÓ]],'Jogi személy'!V:V,0)),""))</f>
        <v>teszt</v>
      </c>
      <c r="X2" t="str">
        <f>IFERROR(INDEX(Magánszemély!X:X,MATCH(Táblázat4[[#This Row],[IKTATÓ]],Magánszemély!U:U,0)),IFERROR(INDEX('Jogi személy'!Y:Y,MATCH(Táblázat4[[#This Row],[IKTATÓ]],'Jogi személy'!V:V,0)),""))</f>
        <v>teszt</v>
      </c>
      <c r="Y2" t="str">
        <f>IFERROR(INDEX(Magánszemély!Y:Y,MATCH(Táblázat4[[#This Row],[IKTATÓ]],Magánszemély!U:U,0)),IFERROR(INDEX('Jogi személy'!Z:Z,MATCH(Táblázat4[[#This Row],[IKTATÓ]],'Jogi személy'!V:V,0)),""))</f>
        <v>teszt</v>
      </c>
      <c r="Z2" t="str">
        <f>IFERROR(INDEX(Magánszemély!Z:Z,MATCH(Táblázat4[[#This Row],[IKTATÓ]],Magánszemély!U:U,0)),IFERROR(INDEX('Jogi személy'!AA:AA,MATCH(Táblázat4[[#This Row],[IKTATÓ]],'Jogi személy'!V:V,0)),""))</f>
        <v>teszt</v>
      </c>
      <c r="AA2" t="str">
        <f>IFERROR(INDEX(Magánszemély!AA:AA,MATCH(Táblázat4[[#This Row],[IKTATÓ]],Magánszemély!U:U,0)),IFERROR(INDEX('Jogi személy'!AB:AB,MATCH(Táblázat4[[#This Row],[IKTATÓ]],'Jogi személy'!V:V,0)),""))</f>
        <v>teszt</v>
      </c>
      <c r="AB2">
        <f>IFERROR(INDEX(Magánszemély!AB:AB,MATCH(Táblázat4[[#This Row],[IKTATÓ]],Magánszemély!U:U,0)),IFERROR(INDEX('Jogi személy'!AC:AC,MATCH(Táblázat4[[#This Row],[IKTATÓ]],'Jogi személy'!V:V,0)),""))</f>
        <v>0</v>
      </c>
      <c r="AC2">
        <f>IFERROR(INDEX(Magánszemély!AC:AC,MATCH(Táblázat4[[#This Row],[IKTATÓ]],Magánszemély!U:U,0)),IFERROR(INDEX('Jogi személy'!AD:AD,MATCH(Táblázat4[[#This Row],[IKTATÓ]],'Jogi személy'!V:V,0)),""))</f>
        <v>0</v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1268</v>
      </c>
    </row>
    <row r="3" spans="1:34" x14ac:dyDescent="0.25">
      <c r="A3" t="str">
        <f>IFERROR(INDEX(Magánszemély!A:A,MATCH(Táblázat4[[#This Row],[IKTATÓ]],Magánszemély!U:U,0)),IFERROR(INDEX('Jogi személy'!A:A,MATCH(Táblázat4[[#This Row],[IKTATÓ]],'Jogi személy'!V:V,0)),""))</f>
        <v>IRSZ teszt 1 ügyfél</v>
      </c>
      <c r="B3" t="str">
        <f>IFERROR(INDEX(Magánszemély!B:B,MATCH(Táblázat4[[#This Row],[IKTATÓ]],Magánszemély!U:U,0)),IFERROR(INDEX('Jogi személy'!B:B,MATCH(Táblázat4[[#This Row],[IKTATÓ]],'Jogi személy'!V:V,0)),""))</f>
        <v>város</v>
      </c>
      <c r="C3" t="str">
        <f>IFERROR(INDEX(Magánszemély!C:C,MATCH(Táblázat4[[#This Row],[IKTATÓ]],Magánszemély!U:U,0)),IFERROR(INDEX('Jogi személy'!C:C,MATCH(Táblázat4[[#This Row],[IKTATÓ]],'Jogi személy'!V:V,0)),""))</f>
        <v>utca</v>
      </c>
      <c r="D3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3" t="str">
        <f>IFERROR(INDEX(Magánszemély!E:E,MATCH(Táblázat4[[#This Row],[IKTATÓ]],Magánszemély!U:U,0)),IFERROR(INDEX('Jogi személy'!E:E,MATCH(Táblázat4[[#This Row],[IKTATÓ]],'Jogi személy'!V:V,0)),""))</f>
        <v>felhasználó neve</v>
      </c>
      <c r="F3" t="str">
        <f>IFERROR(INDEX(Magánszemély!F:F,MATCH(Táblázat4[[#This Row],[IKTATÓ]],Magánszemély!U:U,0)),IFERROR(INDEX('Jogi személy'!F:F,MATCH(Táblázat4[[#This Row],[IKTATÓ]],'Jogi személy'!V:V,0)),""))</f>
        <v>Partner 1</v>
      </c>
      <c r="G3" t="str">
        <f>IFERROR(INDEX(Magánszemély!G:G,MATCH(Táblázat4[[#This Row],[IKTATÓ]],Magánszemély!U:U,0)),IFERROR(INDEX('Jogi személy'!G:G,MATCH(Táblázat4[[#This Row],[IKTATÓ]],'Jogi személy'!V:V,0)),""))</f>
        <v>USER_1</v>
      </c>
      <c r="H3" t="str">
        <f>IFERROR(INDEX(Magánszemély!H:H,MATCH(Táblázat4[[#This Row],[IKTATÓ]],Magánszemély!U:U,0)),IFERROR(INDEX('Jogi személy'!H:H,MATCH(Táblázat4[[#This Row],[IKTATÓ]],'Jogi személy'!V:V,0)),""))</f>
        <v>gyáriszém12234</v>
      </c>
      <c r="I3" t="str">
        <f>IFERROR(INDEX(Magánszemély!I:I,MATCH(Táblázat4[[#This Row],[IKTATÓ]],Magánszemély!U:U,0)),"")</f>
        <v>NÉV</v>
      </c>
      <c r="J3" t="str">
        <f>IFERROR(INDEX(Magánszemély!J:J,MATCH(Táblázat4[[#This Row],[IKTATÓ]],Magánszemély!U:U,0)),"")</f>
        <v>Anya</v>
      </c>
      <c r="K3" t="str">
        <f>IFERROR(INDEX(Magánszemély!K:K,MATCH(Táblázat4[[#This Row],[IKTATÓ]],Magánszemély!U:U,0)),"")</f>
        <v>hely és dátum</v>
      </c>
      <c r="L3" t="str">
        <f>IFERROR(INDEX(Magánszemély!L:L,MATCH(Táblázat4[[#This Row],[IKTATÓ]],Magánszemély!U:U,0)),IFERROR(INDEX('Jogi személy'!M:M,MATCH(Táblázat4[[#This Row],[IKTATÓ]],'Jogi személy'!V:V,0)),""))</f>
        <v>061 234 5678</v>
      </c>
      <c r="M3" t="str">
        <f>IFERROR(INDEX(Magánszemély!M:M,MATCH(Táblázat4[[#This Row],[IKTATÓ]],Magánszemély!U:U,0)),IFERROR(INDEX('Jogi személy'!N:N,MATCH(Táblázat4[[#This Row],[IKTATÓ]],'Jogi személy'!V:V,0)),""))</f>
        <v>mail</v>
      </c>
      <c r="N3" t="str">
        <f>IFERROR(INDEX(Magánszemély!N:N,MATCH(Táblázat4[[#This Row],[IKTATÓ]],Magánszemély!U:U,0)),IFERROR(INDEX('Jogi személy'!O:O,MATCH(Táblázat4[[#This Row],[IKTATÓ]],'Jogi személy'!V:V,0)),""))</f>
        <v>1*32A</v>
      </c>
      <c r="O3" t="str">
        <f>IFERROR(INDEX(Magánszemély!O:O,MATCH(Táblázat4[[#This Row],[IKTATÓ]],Magánszemély!U:U,0)),IFERROR(INDEX('Jogi személy'!P:P,MATCH(Táblázat4[[#This Row],[IKTATÓ]],'Jogi személy'!V:V,0)),""))</f>
        <v>KILOWATT</v>
      </c>
      <c r="P3" t="str">
        <f>IFERROR(INDEX(Magánszemély!P:P,MATCH(Táblázat4[[#This Row],[IKTATÓ]],Magánszemély!U:U,0)),IFERROR(INDEX('Jogi személy'!Q:Q,MATCH(Táblázat4[[#This Row],[IKTATÓ]],'Jogi személy'!V:V,0)),""))</f>
        <v>1 fázis</v>
      </c>
      <c r="Q3" t="str">
        <f>IFERROR(INDEX(Magánszemély!Q:Q,MATCH(Táblázat4[[#This Row],[IKTATÓ]],Magánszemély!U:U,0)),IFERROR(INDEX('Jogi személy'!R:R,MATCH(Táblázat4[[#This Row],[IKTATÓ]],'Jogi személy'!V:V,0)),""))</f>
        <v>teszt érintésvédelmi mód</v>
      </c>
      <c r="R3" t="str">
        <f>IFERROR(INDEX(Magánszemély!R:R,MATCH(Táblázat4[[#This Row],[IKTATÓ]],Magánszemély!U:U,0)),IFERROR(INDEX('Jogi személy'!S:S,MATCH(Táblázat4[[#This Row],[IKTATÓ]],'Jogi személy'!V:V,0)),""))</f>
        <v>DC vill teljesítmény</v>
      </c>
      <c r="S3" t="s">
        <v>1293</v>
      </c>
      <c r="T3" t="str">
        <f>IFERROR(INDEX(Magánszemély!T:T,MATCH(Táblázat4[[#This Row],[IKTATÓ]],Magánszemély!U:U,0)),IFERROR(INDEX('Jogi személy'!U:U,MATCH(Táblázat4[[#This Row],[IKTATÓ]],'Jogi személy'!V:V,0)),""))</f>
        <v>levél cím</v>
      </c>
      <c r="U3" t="s">
        <v>1270</v>
      </c>
      <c r="V3" t="str">
        <f>IFERROR(INDEX(Magánszemély!V:V,MATCH(Táblázat4[[#This Row],[IKTATÓ]],Magánszemély!U:U,0)),IFERROR(INDEX('Jogi személy'!W:W,MATCH(Táblázat4[[#This Row],[IKTATÓ]],'Jogi személy'!V:V,0)),""))</f>
        <v>napelem panel</v>
      </c>
      <c r="W3" t="str">
        <f>IFERROR(INDEX(Magánszemély!W:W,MATCH(Táblázat4[[#This Row],[IKTATÓ]],Magánszemély!U:U,0)),IFERROR(INDEX('Jogi személy'!X:X,MATCH(Táblázat4[[#This Row],[IKTATÓ]],'Jogi személy'!V:V,0)),""))</f>
        <v>teszt</v>
      </c>
      <c r="X3" t="str">
        <f>IFERROR(INDEX(Magánszemély!X:X,MATCH(Táblázat4[[#This Row],[IKTATÓ]],Magánszemély!U:U,0)),IFERROR(INDEX('Jogi személy'!Y:Y,MATCH(Táblázat4[[#This Row],[IKTATÓ]],'Jogi személy'!V:V,0)),""))</f>
        <v>16 m DC hossz</v>
      </c>
      <c r="Y3" t="str">
        <f>IFERROR(INDEX(Magánszemély!Y:Y,MATCH(Táblázat4[[#This Row],[IKTATÓ]],Magánszemély!U:U,0)),IFERROR(INDEX('Jogi személy'!Z:Z,MATCH(Táblázat4[[#This Row],[IKTATÓ]],'Jogi személy'!V:V,0)),""))</f>
        <v>teszt</v>
      </c>
      <c r="Z3" t="str">
        <f>IFERROR(INDEX(Magánszemély!Z:Z,MATCH(Táblázat4[[#This Row],[IKTATÓ]],Magánszemély!U:U,0)),IFERROR(INDEX('Jogi személy'!AA:AA,MATCH(Táblázat4[[#This Row],[IKTATÓ]],'Jogi személy'!V:V,0)),""))</f>
        <v>teszt</v>
      </c>
      <c r="AA3" t="str">
        <f>IFERROR(INDEX(Magánszemély!AA:AA,MATCH(Táblázat4[[#This Row],[IKTATÓ]],Magánszemély!U:U,0)),IFERROR(INDEX('Jogi személy'!AB:AB,MATCH(Táblázat4[[#This Row],[IKTATÓ]],'Jogi személy'!V:V,0)),""))</f>
        <v>teszt</v>
      </c>
      <c r="AB3" t="str">
        <f>IFERROR(INDEX(Magánszemély!AB:AB,MATCH(Táblázat4[[#This Row],[IKTATÓ]],Magánszemély!U:U,0)),IFERROR(INDEX('Jogi személy'!AC:AC,MATCH(Táblázat4[[#This Row],[IKTATÓ]],'Jogi személy'!V:V,0)),""))</f>
        <v>kismegszakító teszt</v>
      </c>
      <c r="AC3" t="str">
        <f>IFERROR(INDEX(Magánszemély!AC:AC,MATCH(Táblázat4[[#This Row],[IKTATÓ]],Magánszemély!U:U,0)),IFERROR(INDEX('Jogi személy'!AD:AD,MATCH(Táblázat4[[#This Row],[IKTATÓ]],'Jogi személy'!V:V,0)),""))</f>
        <v>mérési pont ID 45679</v>
      </c>
      <c r="AD3" t="str">
        <f>IFERROR(INDEX('Jogi személy'!I:I,MATCH(Táblázat4[[#This Row],[IKTATÓ]],'Jogi személy'!V:V,0)),"")</f>
        <v/>
      </c>
      <c r="AE3" t="str">
        <f>IFERROR(INDEX('Jogi személy'!J:J,MATCH(Táblázat4[[#This Row],[IKTATÓ]],'Jogi személy'!V:V,0)),"")</f>
        <v/>
      </c>
      <c r="AF3" t="str">
        <f>IFERROR(INDEX('Jogi személy'!K:K,MATCH(Táblázat4[[#This Row],[IKTATÓ]],'Jogi személy'!V:V,0)),"")</f>
        <v/>
      </c>
      <c r="AG3" t="str">
        <f>IFERROR(INDEX('Jogi személy'!L:L,MATCH(Táblázat4[[#This Row],[IKTATÓ]],'Jogi személy'!V:V,0)),"")</f>
        <v/>
      </c>
      <c r="AH3" t="s">
        <v>1271</v>
      </c>
    </row>
    <row r="4" spans="1:34" x14ac:dyDescent="0.25">
      <c r="A4" t="str">
        <f>IFERROR(INDEX(Magánszemély!A:A,MATCH(Táblázat4[[#This Row],[IKTATÓ]],Magánszemély!U:U,0)),IFERROR(INDEX('Jogi személy'!A:A,MATCH(Táblázat4[[#This Row],[IKTATÓ]],'Jogi személy'!V:V,0)),""))</f>
        <v>teszt jogi</v>
      </c>
      <c r="B4" t="str">
        <f>IFERROR(INDEX(Magánszemély!B:B,MATCH(Táblázat4[[#This Row],[IKTATÓ]],Magánszemély!U:U,0)),IFERROR(INDEX('Jogi személy'!B:B,MATCH(Táblázat4[[#This Row],[IKTATÓ]],'Jogi személy'!V:V,0)),""))</f>
        <v>teszt</v>
      </c>
      <c r="C4" t="str">
        <f>IFERROR(INDEX(Magánszemély!C:C,MATCH(Táblázat4[[#This Row],[IKTATÓ]],Magánszemély!U:U,0)),IFERROR(INDEX('Jogi személy'!C:C,MATCH(Táblázat4[[#This Row],[IKTATÓ]],'Jogi személy'!V:V,0)),""))</f>
        <v>teszt</v>
      </c>
      <c r="D4" t="str">
        <f>IFERROR(INDEX(Magánszemély!D:D,MATCH(Táblázat4[[#This Row],[IKTATÓ]],Magánszemély!U:U,0)),IFERROR(INDEX('Jogi személy'!D:D,MATCH(Táblázat4[[#This Row],[IKTATÓ]],'Jogi személy'!V:V,0)),""))</f>
        <v>Jogi személy</v>
      </c>
      <c r="E4" t="str">
        <f>IFERROR(INDEX(Magánszemély!E:E,MATCH(Táblázat4[[#This Row],[IKTATÓ]],Magánszemély!U:U,0)),IFERROR(INDEX('Jogi személy'!E:E,MATCH(Táblázat4[[#This Row],[IKTATÓ]],'Jogi személy'!V:V,0)),""))</f>
        <v>teszt</v>
      </c>
      <c r="F4" t="str">
        <f>IFERROR(INDEX(Magánszemély!F:F,MATCH(Táblázat4[[#This Row],[IKTATÓ]],Magánszemély!U:U,0)),IFERROR(INDEX('Jogi személy'!F:F,MATCH(Táblázat4[[#This Row],[IKTATÓ]],'Jogi személy'!V:V,0)),""))</f>
        <v>teszt</v>
      </c>
      <c r="G4" t="str">
        <f>IFERROR(INDEX(Magánszemély!G:G,MATCH(Táblázat4[[#This Row],[IKTATÓ]],Magánszemély!U:U,0)),IFERROR(INDEX('Jogi személy'!G:G,MATCH(Táblázat4[[#This Row],[IKTATÓ]],'Jogi személy'!V:V,0)),""))</f>
        <v>teszt</v>
      </c>
      <c r="H4" t="str">
        <f>IFERROR(INDEX(Magánszemély!H:H,MATCH(Táblázat4[[#This Row],[IKTATÓ]],Magánszemély!U:U,0)),IFERROR(INDEX('Jogi személy'!H:H,MATCH(Táblázat4[[#This Row],[IKTATÓ]],'Jogi személy'!V:V,0)),""))</f>
        <v>teszt</v>
      </c>
      <c r="I4" t="str">
        <f>IFERROR(INDEX(Magánszemély!I:I,MATCH(Táblázat4[[#This Row],[IKTATÓ]],Magánszemély!U:U,0)),"")</f>
        <v/>
      </c>
      <c r="J4" t="str">
        <f>IFERROR(INDEX(Magánszemély!J:J,MATCH(Táblázat4[[#This Row],[IKTATÓ]],Magánszemély!U:U,0)),"")</f>
        <v/>
      </c>
      <c r="K4" t="str">
        <f>IFERROR(INDEX(Magánszemély!K:K,MATCH(Táblázat4[[#This Row],[IKTATÓ]],Magánszemély!U:U,0)),"")</f>
        <v/>
      </c>
      <c r="L4" t="str">
        <f>IFERROR(INDEX(Magánszemély!L:L,MATCH(Táblázat4[[#This Row],[IKTATÓ]],Magánszemély!U:U,0)),IFERROR(INDEX('Jogi személy'!M:M,MATCH(Táblázat4[[#This Row],[IKTATÓ]],'Jogi személy'!V:V,0)),""))</f>
        <v>teszt</v>
      </c>
      <c r="M4" t="str">
        <f>IFERROR(INDEX(Magánszemély!M:M,MATCH(Táblázat4[[#This Row],[IKTATÓ]],Magánszemély!U:U,0)),IFERROR(INDEX('Jogi személy'!N:N,MATCH(Táblázat4[[#This Row],[IKTATÓ]],'Jogi személy'!V:V,0)),""))</f>
        <v>teszt</v>
      </c>
      <c r="N4" t="str">
        <f>IFERROR(INDEX(Magánszemély!N:N,MATCH(Táblázat4[[#This Row],[IKTATÓ]],Magánszemély!U:U,0)),IFERROR(INDEX('Jogi személy'!O:O,MATCH(Táblázat4[[#This Row],[IKTATÓ]],'Jogi személy'!V:V,0)),""))</f>
        <v>teszt</v>
      </c>
      <c r="O4" t="str">
        <f>IFERROR(INDEX(Magánszemély!O:O,MATCH(Táblázat4[[#This Row],[IKTATÓ]],Magánszemély!U:U,0)),IFERROR(INDEX('Jogi személy'!P:P,MATCH(Táblázat4[[#This Row],[IKTATÓ]],'Jogi személy'!V:V,0)),""))</f>
        <v>teszt</v>
      </c>
      <c r="P4" t="str">
        <f>IFERROR(INDEX(Magánszemély!P:P,MATCH(Táblázat4[[#This Row],[IKTATÓ]],Magánszemély!U:U,0)),IFERROR(INDEX('Jogi személy'!Q:Q,MATCH(Táblázat4[[#This Row],[IKTATÓ]],'Jogi személy'!V:V,0)),""))</f>
        <v>3 fázis</v>
      </c>
      <c r="Q4" t="str">
        <f>IFERROR(INDEX(Magánszemély!Q:Q,MATCH(Táblázat4[[#This Row],[IKTATÓ]],Magánszemély!U:U,0)),IFERROR(INDEX('Jogi személy'!R:R,MATCH(Táblázat4[[#This Row],[IKTATÓ]],'Jogi személy'!V:V,0)),""))</f>
        <v>teszt</v>
      </c>
      <c r="R4" t="str">
        <f>IFERROR(INDEX(Magánszemély!R:R,MATCH(Táblázat4[[#This Row],[IKTATÓ]],Magánszemély!U:U,0)),IFERROR(INDEX('Jogi személy'!S:S,MATCH(Táblázat4[[#This Row],[IKTATÓ]],'Jogi személy'!V:V,0)),""))</f>
        <v>teszt</v>
      </c>
      <c r="S4" t="str">
        <f>IFERROR(INDEX(Magánszemély!S:S,MATCH(Táblázat4[[#This Row],[IKTATÓ]],Magánszemély!U:U,0)),IFERROR(INDEX('Jogi személy'!T:T,MATCH(Táblázat4[[#This Row],[IKTATÓ]],'Jogi személy'!V:V,0)),""))</f>
        <v>tesztinverter</v>
      </c>
      <c r="T4" t="str">
        <f>IFERROR(INDEX(Magánszemély!T:T,MATCH(Táblázat4[[#This Row],[IKTATÓ]],Magánszemély!U:U,0)),IFERROR(INDEX('Jogi személy'!U:U,MATCH(Táblázat4[[#This Row],[IKTATÓ]],'Jogi személy'!V:V,0)),""))</f>
        <v>teszt lev cím</v>
      </c>
      <c r="U4" t="s">
        <v>1295</v>
      </c>
      <c r="V4" t="str">
        <f>IFERROR(INDEX(Magánszemély!V:V,MATCH(Táblázat4[[#This Row],[IKTATÓ]],Magánszemély!U:U,0)),IFERROR(INDEX('Jogi személy'!W:W,MATCH(Táblázat4[[#This Row],[IKTATÓ]],'Jogi személy'!V:V,0)),""))</f>
        <v>tesztnapelem</v>
      </c>
      <c r="W4" t="str">
        <f>IFERROR(INDEX(Magánszemély!W:W,MATCH(Táblázat4[[#This Row],[IKTATÓ]],Magánszemély!U:U,0)),IFERROR(INDEX('Jogi személy'!X:X,MATCH(Táblázat4[[#This Row],[IKTATÓ]],'Jogi személy'!V:V,0)),""))</f>
        <v>teszt</v>
      </c>
      <c r="X4" t="str">
        <f>IFERROR(INDEX(Magánszemély!X:X,MATCH(Táblázat4[[#This Row],[IKTATÓ]],Magánszemély!U:U,0)),IFERROR(INDEX('Jogi személy'!Y:Y,MATCH(Táblázat4[[#This Row],[IKTATÓ]],'Jogi személy'!V:V,0)),""))</f>
        <v>teszt</v>
      </c>
      <c r="Y4" t="str">
        <f>IFERROR(INDEX(Magánszemély!Y:Y,MATCH(Táblázat4[[#This Row],[IKTATÓ]],Magánszemély!U:U,0)),IFERROR(INDEX('Jogi személy'!Z:Z,MATCH(Táblázat4[[#This Row],[IKTATÓ]],'Jogi személy'!V:V,0)),""))</f>
        <v>teszt</v>
      </c>
      <c r="Z4" t="str">
        <f>IFERROR(INDEX(Magánszemély!Z:Z,MATCH(Táblázat4[[#This Row],[IKTATÓ]],Magánszemély!U:U,0)),IFERROR(INDEX('Jogi személy'!AA:AA,MATCH(Táblázat4[[#This Row],[IKTATÓ]],'Jogi személy'!V:V,0)),""))</f>
        <v>teszt</v>
      </c>
      <c r="AA4">
        <f>IFERROR(INDEX(Magánszemély!AA:AA,MATCH(Táblázat4[[#This Row],[IKTATÓ]],Magánszemély!U:U,0)),IFERROR(INDEX('Jogi személy'!AB:AB,MATCH(Táblázat4[[#This Row],[IKTATÓ]],'Jogi személy'!V:V,0)),""))</f>
        <v>0</v>
      </c>
      <c r="AB4">
        <f>IFERROR(INDEX(Magánszemély!AB:AB,MATCH(Táblázat4[[#This Row],[IKTATÓ]],Magánszemély!U:U,0)),IFERROR(INDEX('Jogi személy'!AC:AC,MATCH(Táblázat4[[#This Row],[IKTATÓ]],'Jogi személy'!V:V,0)),""))</f>
        <v>0</v>
      </c>
      <c r="AC4">
        <f>IFERROR(INDEX(Magánszemély!AC:AC,MATCH(Táblázat4[[#This Row],[IKTATÓ]],Magánszemély!U:U,0)),IFERROR(INDEX('Jogi személy'!AD:AD,MATCH(Táblázat4[[#This Row],[IKTATÓ]],'Jogi személy'!V:V,0)),""))</f>
        <v>0</v>
      </c>
      <c r="AD4" t="str">
        <f>IFERROR(INDEX('Jogi személy'!I:I,MATCH(Táblázat4[[#This Row],[IKTATÓ]],'Jogi személy'!V:V,0)),"")</f>
        <v>teszt</v>
      </c>
      <c r="AE4" t="str">
        <f>IFERROR(INDEX('Jogi személy'!J:J,MATCH(Táblázat4[[#This Row],[IKTATÓ]],'Jogi személy'!V:V,0)),"")</f>
        <v>teszt</v>
      </c>
      <c r="AF4" t="str">
        <f>IFERROR(INDEX('Jogi személy'!K:K,MATCH(Táblázat4[[#This Row],[IKTATÓ]],'Jogi személy'!V:V,0)),"")</f>
        <v>teszt</v>
      </c>
      <c r="AG4" t="str">
        <f>IFERROR(INDEX('Jogi személy'!L:L,MATCH(Táblázat4[[#This Row],[IKTATÓ]],'Jogi személy'!V:V,0)),"")</f>
        <v>teszt</v>
      </c>
      <c r="AH4" t="s">
        <v>1296</v>
      </c>
    </row>
    <row r="5" spans="1:34" x14ac:dyDescent="0.25">
      <c r="A5" t="str">
        <f>IFERROR(INDEX(Magánszemély!A:A,MATCH(Táblázat4[[#This Row],[IKTATÓ]],Magánszemély!U:U,0)),IFERROR(INDEX('Jogi személy'!A:A,MATCH(Táblázat4[[#This Row],[IKTATÓ]],'Jogi személy'!V:V,0)),""))</f>
        <v/>
      </c>
      <c r="B5" t="str">
        <f>IFERROR(INDEX(Magánszemély!B:B,MATCH(Táblázat4[[#This Row],[IKTATÓ]],Magánszemély!U:U,0)),IFERROR(INDEX('Jogi személy'!B:B,MATCH(Táblázat4[[#This Row],[IKTATÓ]],'Jogi személy'!V:V,0)),""))</f>
        <v/>
      </c>
      <c r="C5" t="str">
        <f>IFERROR(INDEX(Magánszemély!C:C,MATCH(Táblázat4[[#This Row],[IKTATÓ]],Magánszemély!U:U,0)),IFERROR(INDEX('Jogi személy'!C:C,MATCH(Táblázat4[[#This Row],[IKTATÓ]],'Jogi személy'!V:V,0)),""))</f>
        <v/>
      </c>
      <c r="D5" t="str">
        <f>IFERROR(INDEX(Magánszemély!D:D,MATCH(Táblázat4[[#This Row],[IKTATÓ]],Magánszemély!U:U,0)),IFERROR(INDEX('Jogi személy'!D:D,MATCH(Táblázat4[[#This Row],[IKTATÓ]],'Jogi személy'!V:V,0)),""))</f>
        <v/>
      </c>
      <c r="E5" t="str">
        <f>IFERROR(INDEX(Magánszemély!E:E,MATCH(Táblázat4[[#This Row],[IKTATÓ]],Magánszemély!U:U,0)),IFERROR(INDEX('Jogi személy'!E:E,MATCH(Táblázat4[[#This Row],[IKTATÓ]],'Jogi személy'!V:V,0)),""))</f>
        <v/>
      </c>
      <c r="F5" t="str">
        <f>IFERROR(INDEX(Magánszemély!F:F,MATCH(Táblázat4[[#This Row],[IKTATÓ]],Magánszemély!U:U,0)),IFERROR(INDEX('Jogi személy'!F:F,MATCH(Táblázat4[[#This Row],[IKTATÓ]],'Jogi személy'!V:V,0)),""))</f>
        <v/>
      </c>
      <c r="G5" t="str">
        <f>IFERROR(INDEX(Magánszemély!G:G,MATCH(Táblázat4[[#This Row],[IKTATÓ]],Magánszemély!U:U,0)),IFERROR(INDEX('Jogi személy'!G:G,MATCH(Táblázat4[[#This Row],[IKTATÓ]],'Jogi személy'!V:V,0)),""))</f>
        <v/>
      </c>
      <c r="H5" t="str">
        <f>IFERROR(INDEX(Magánszemély!H:H,MATCH(Táblázat4[[#This Row],[IKTATÓ]],Magánszemély!U:U,0)),IFERROR(INDEX('Jogi személy'!H:H,MATCH(Táblázat4[[#This Row],[IKTATÓ]],'Jogi személy'!V:V,0)),""))</f>
        <v/>
      </c>
      <c r="I5" t="str">
        <f>IFERROR(INDEX(Magánszemély!I:I,MATCH(Táblázat4[[#This Row],[IKTATÓ]],Magánszemély!U:U,0)),"")</f>
        <v/>
      </c>
      <c r="J5" t="str">
        <f>IFERROR(INDEX(Magánszemély!J:J,MATCH(Táblázat4[[#This Row],[IKTATÓ]],Magánszemély!U:U,0)),"")</f>
        <v/>
      </c>
      <c r="K5" t="str">
        <f>IFERROR(INDEX(Magánszemély!K:K,MATCH(Táblázat4[[#This Row],[IKTATÓ]],Magánszemély!U:U,0)),"")</f>
        <v/>
      </c>
      <c r="L5" t="str">
        <f>IFERROR(INDEX(Magánszemély!L:L,MATCH(Táblázat4[[#This Row],[IKTATÓ]],Magánszemély!U:U,0)),IFERROR(INDEX('Jogi személy'!M:M,MATCH(Táblázat4[[#This Row],[IKTATÓ]],'Jogi személy'!V:V,0)),""))</f>
        <v/>
      </c>
      <c r="M5" t="str">
        <f>IFERROR(INDEX(Magánszemély!M:M,MATCH(Táblázat4[[#This Row],[IKTATÓ]],Magánszemély!U:U,0)),IFERROR(INDEX('Jogi személy'!N:N,MATCH(Táblázat4[[#This Row],[IKTATÓ]],'Jogi személy'!V:V,0)),""))</f>
        <v/>
      </c>
      <c r="N5" t="str">
        <f>IFERROR(INDEX(Magánszemély!N:N,MATCH(Táblázat4[[#This Row],[IKTATÓ]],Magánszemély!U:U,0)),IFERROR(INDEX('Jogi személy'!O:O,MATCH(Táblázat4[[#This Row],[IKTATÓ]],'Jogi személy'!V:V,0)),""))</f>
        <v/>
      </c>
      <c r="O5" t="str">
        <f>IFERROR(INDEX(Magánszemély!O:O,MATCH(Táblázat4[[#This Row],[IKTATÓ]],Magánszemély!U:U,0)),IFERROR(INDEX('Jogi személy'!P:P,MATCH(Táblázat4[[#This Row],[IKTATÓ]],'Jogi személy'!V:V,0)),""))</f>
        <v/>
      </c>
      <c r="P5" t="str">
        <f>IFERROR(INDEX(Magánszemély!P:P,MATCH(Táblázat4[[#This Row],[IKTATÓ]],Magánszemély!U:U,0)),IFERROR(INDEX('Jogi személy'!Q:Q,MATCH(Táblázat4[[#This Row],[IKTATÓ]],'Jogi személy'!V:V,0)),""))</f>
        <v/>
      </c>
      <c r="Q5" t="str">
        <f>IFERROR(INDEX(Magánszemély!Q:Q,MATCH(Táblázat4[[#This Row],[IKTATÓ]],Magánszemély!U:U,0)),IFERROR(INDEX('Jogi személy'!R:R,MATCH(Táblázat4[[#This Row],[IKTATÓ]],'Jogi személy'!V:V,0)),""))</f>
        <v/>
      </c>
      <c r="R5" t="str">
        <f>IFERROR(INDEX(Magánszemély!R:R,MATCH(Táblázat4[[#This Row],[IKTATÓ]],Magánszemély!U:U,0)),IFERROR(INDEX('Jogi személy'!S:S,MATCH(Táblázat4[[#This Row],[IKTATÓ]],'Jogi személy'!V:V,0)),""))</f>
        <v/>
      </c>
      <c r="S5" t="str">
        <f>IFERROR(INDEX(Magánszemély!S:S,MATCH(Táblázat4[[#This Row],[IKTATÓ]],Magánszemély!U:U,0)),IFERROR(INDEX('Jogi személy'!T:T,MATCH(Táblázat4[[#This Row],[IKTATÓ]],'Jogi személy'!V:V,0)),""))</f>
        <v/>
      </c>
      <c r="T5" t="str">
        <f>IFERROR(INDEX(Magánszemély!T:T,MATCH(Táblázat4[[#This Row],[IKTATÓ]],Magánszemély!U:U,0)),IFERROR(INDEX('Jogi személy'!U:U,MATCH(Táblázat4[[#This Row],[IKTATÓ]],'Jogi személy'!V:V,0)),""))</f>
        <v/>
      </c>
      <c r="V5" t="str">
        <f>IFERROR(INDEX(Magánszemély!V:V,MATCH(Táblázat4[[#This Row],[IKTATÓ]],Magánszemély!U:U,0)),IFERROR(INDEX('Jogi személy'!W:W,MATCH(Táblázat4[[#This Row],[IKTATÓ]],'Jogi személy'!V:V,0)),""))</f>
        <v/>
      </c>
      <c r="W5" t="str">
        <f>IFERROR(INDEX(Magánszemély!W:W,MATCH(Táblázat4[[#This Row],[IKTATÓ]],Magánszemély!U:U,0)),IFERROR(INDEX('Jogi személy'!X:X,MATCH(Táblázat4[[#This Row],[IKTATÓ]],'Jogi személy'!V:V,0)),""))</f>
        <v/>
      </c>
      <c r="X5" t="str">
        <f>IFERROR(INDEX(Magánszemély!X:X,MATCH(Táblázat4[[#This Row],[IKTATÓ]],Magánszemély!U:U,0)),IFERROR(INDEX('Jogi személy'!Y:Y,MATCH(Táblázat4[[#This Row],[IKTATÓ]],'Jogi személy'!V:V,0)),""))</f>
        <v/>
      </c>
      <c r="Y5" t="str">
        <f>IFERROR(INDEX(Magánszemély!Y:Y,MATCH(Táblázat4[[#This Row],[IKTATÓ]],Magánszemély!U:U,0)),IFERROR(INDEX('Jogi személy'!Z:Z,MATCH(Táblázat4[[#This Row],[IKTATÓ]],'Jogi személy'!V:V,0)),""))</f>
        <v/>
      </c>
      <c r="Z5" t="str">
        <f>IFERROR(INDEX(Magánszemély!Z:Z,MATCH(Táblázat4[[#This Row],[IKTATÓ]],Magánszemély!U:U,0)),IFERROR(INDEX('Jogi személy'!AA:AA,MATCH(Táblázat4[[#This Row],[IKTATÓ]],'Jogi személy'!V:V,0)),""))</f>
        <v/>
      </c>
      <c r="AA5" t="str">
        <f>IFERROR(INDEX(Magánszemély!AA:AA,MATCH(Táblázat4[[#This Row],[IKTATÓ]],Magánszemély!U:U,0)),IFERROR(INDEX('Jogi személy'!AB:AB,MATCH(Táblázat4[[#This Row],[IKTATÓ]],'Jogi személy'!V:V,0)),""))</f>
        <v/>
      </c>
      <c r="AB5" t="str">
        <f>IFERROR(INDEX(Magánszemély!AB:AB,MATCH(Táblázat4[[#This Row],[IKTATÓ]],Magánszemély!U:U,0)),IFERROR(INDEX('Jogi személy'!AC:AC,MATCH(Táblázat4[[#This Row],[IKTATÓ]],'Jogi személy'!V:V,0)),""))</f>
        <v/>
      </c>
      <c r="AC5" t="str">
        <f>IFERROR(INDEX(Magánszemély!AC:AC,MATCH(Táblázat4[[#This Row],[IKTATÓ]],Magánszemély!U:U,0)),IFERROR(INDEX('Jogi személy'!AD:AD,MATCH(Táblázat4[[#This Row],[IKTATÓ]],'Jogi személy'!V:V,0)),""))</f>
        <v/>
      </c>
      <c r="AD5" t="str">
        <f>IFERROR(INDEX('Jogi személy'!I:I,MATCH(Táblázat4[[#This Row],[IKTATÓ]],'Jogi személy'!V:V,0)),"")</f>
        <v/>
      </c>
      <c r="AE5" t="str">
        <f>IFERROR(INDEX('Jogi személy'!J:J,MATCH(Táblázat4[[#This Row],[IKTATÓ]],'Jogi személy'!V:V,0)),"")</f>
        <v/>
      </c>
      <c r="AF5" t="str">
        <f>IFERROR(INDEX('Jogi személy'!K:K,MATCH(Táblázat4[[#This Row],[IKTATÓ]],'Jogi személy'!V:V,0)),"")</f>
        <v/>
      </c>
      <c r="AG5" t="str">
        <f>IFERROR(INDEX('Jogi személy'!L:L,MATCH(Táblázat4[[#This Row],[IKTATÓ]],'Jogi személy'!V:V,0)),"")</f>
        <v/>
      </c>
    </row>
    <row r="6" spans="1:34" x14ac:dyDescent="0.25">
      <c r="A6" t="str">
        <f>IFERROR(INDEX(Magánszemély!A:A,MATCH(Táblázat4[[#This Row],[IKTATÓ]],Magánszemély!U:U,0)),IFERROR(INDEX('Jogi személy'!A:A,MATCH(Táblázat4[[#This Row],[IKTATÓ]],'Jogi személy'!V:V,0)),""))</f>
        <v/>
      </c>
      <c r="B6" t="str">
        <f>IFERROR(INDEX(Magánszemély!B:B,MATCH(Táblázat4[[#This Row],[IKTATÓ]],Magánszemély!U:U,0)),IFERROR(INDEX('Jogi személy'!B:B,MATCH(Táblázat4[[#This Row],[IKTATÓ]],'Jogi személy'!V:V,0)),""))</f>
        <v/>
      </c>
      <c r="C6" t="str">
        <f>IFERROR(INDEX(Magánszemély!C:C,MATCH(Táblázat4[[#This Row],[IKTATÓ]],Magánszemély!U:U,0)),IFERROR(INDEX('Jogi személy'!C:C,MATCH(Táblázat4[[#This Row],[IKTATÓ]],'Jogi személy'!V:V,0)),""))</f>
        <v/>
      </c>
      <c r="D6" t="str">
        <f>IFERROR(INDEX(Magánszemély!D:D,MATCH(Táblázat4[[#This Row],[IKTATÓ]],Magánszemély!U:U,0)),IFERROR(INDEX('Jogi személy'!D:D,MATCH(Táblázat4[[#This Row],[IKTATÓ]],'Jogi személy'!V:V,0)),""))</f>
        <v/>
      </c>
      <c r="E6" t="str">
        <f>IFERROR(INDEX(Magánszemély!E:E,MATCH(Táblázat4[[#This Row],[IKTATÓ]],Magánszemély!U:U,0)),IFERROR(INDEX('Jogi személy'!E:E,MATCH(Táblázat4[[#This Row],[IKTATÓ]],'Jogi személy'!V:V,0)),""))</f>
        <v/>
      </c>
      <c r="F6" t="str">
        <f>IFERROR(INDEX(Magánszemély!F:F,MATCH(Táblázat4[[#This Row],[IKTATÓ]],Magánszemély!U:U,0)),IFERROR(INDEX('Jogi személy'!F:F,MATCH(Táblázat4[[#This Row],[IKTATÓ]],'Jogi személy'!V:V,0)),""))</f>
        <v/>
      </c>
      <c r="G6" t="str">
        <f>IFERROR(INDEX(Magánszemély!G:G,MATCH(Táblázat4[[#This Row],[IKTATÓ]],Magánszemély!U:U,0)),IFERROR(INDEX('Jogi személy'!G:G,MATCH(Táblázat4[[#This Row],[IKTATÓ]],'Jogi személy'!V:V,0)),""))</f>
        <v/>
      </c>
      <c r="H6" t="str">
        <f>IFERROR(INDEX(Magánszemély!H:H,MATCH(Táblázat4[[#This Row],[IKTATÓ]],Magánszemély!U:U,0)),IFERROR(INDEX('Jogi személy'!H:H,MATCH(Táblázat4[[#This Row],[IKTATÓ]],'Jogi személy'!V:V,0)),""))</f>
        <v/>
      </c>
      <c r="I6" t="str">
        <f>IFERROR(INDEX(Magánszemély!I:I,MATCH(Táblázat4[[#This Row],[IKTATÓ]],Magánszemély!U:U,0)),"")</f>
        <v/>
      </c>
      <c r="J6" t="str">
        <f>IFERROR(INDEX(Magánszemély!J:J,MATCH(Táblázat4[[#This Row],[IKTATÓ]],Magánszemély!U:U,0)),"")</f>
        <v/>
      </c>
      <c r="K6" t="str">
        <f>IFERROR(INDEX(Magánszemély!K:K,MATCH(Táblázat4[[#This Row],[IKTATÓ]],Magánszemély!U:U,0)),"")</f>
        <v/>
      </c>
      <c r="L6" t="str">
        <f>IFERROR(INDEX(Magánszemély!L:L,MATCH(Táblázat4[[#This Row],[IKTATÓ]],Magánszemély!U:U,0)),IFERROR(INDEX('Jogi személy'!M:M,MATCH(Táblázat4[[#This Row],[IKTATÓ]],'Jogi személy'!V:V,0)),""))</f>
        <v/>
      </c>
      <c r="M6" t="str">
        <f>IFERROR(INDEX(Magánszemély!M:M,MATCH(Táblázat4[[#This Row],[IKTATÓ]],Magánszemély!U:U,0)),IFERROR(INDEX('Jogi személy'!N:N,MATCH(Táblázat4[[#This Row],[IKTATÓ]],'Jogi személy'!V:V,0)),""))</f>
        <v/>
      </c>
      <c r="N6" t="str">
        <f>IFERROR(INDEX(Magánszemély!N:N,MATCH(Táblázat4[[#This Row],[IKTATÓ]],Magánszemély!U:U,0)),IFERROR(INDEX('Jogi személy'!O:O,MATCH(Táblázat4[[#This Row],[IKTATÓ]],'Jogi személy'!V:V,0)),""))</f>
        <v/>
      </c>
      <c r="O6" t="str">
        <f>IFERROR(INDEX(Magánszemély!O:O,MATCH(Táblázat4[[#This Row],[IKTATÓ]],Magánszemély!U:U,0)),IFERROR(INDEX('Jogi személy'!P:P,MATCH(Táblázat4[[#This Row],[IKTATÓ]],'Jogi személy'!V:V,0)),""))</f>
        <v/>
      </c>
      <c r="P6" t="str">
        <f>IFERROR(INDEX(Magánszemély!P:P,MATCH(Táblázat4[[#This Row],[IKTATÓ]],Magánszemély!U:U,0)),IFERROR(INDEX('Jogi személy'!Q:Q,MATCH(Táblázat4[[#This Row],[IKTATÓ]],'Jogi személy'!V:V,0)),""))</f>
        <v/>
      </c>
      <c r="Q6" t="str">
        <f>IFERROR(INDEX(Magánszemély!Q:Q,MATCH(Táblázat4[[#This Row],[IKTATÓ]],Magánszemély!U:U,0)),IFERROR(INDEX('Jogi személy'!R:R,MATCH(Táblázat4[[#This Row],[IKTATÓ]],'Jogi személy'!V:V,0)),""))</f>
        <v/>
      </c>
      <c r="R6" t="str">
        <f>IFERROR(INDEX(Magánszemély!R:R,MATCH(Táblázat4[[#This Row],[IKTATÓ]],Magánszemély!U:U,0)),IFERROR(INDEX('Jogi személy'!S:S,MATCH(Táblázat4[[#This Row],[IKTATÓ]],'Jogi személy'!V:V,0)),""))</f>
        <v/>
      </c>
      <c r="S6" t="str">
        <f>IFERROR(INDEX(Magánszemély!S:S,MATCH(Táblázat4[[#This Row],[IKTATÓ]],Magánszemély!U:U,0)),IFERROR(INDEX('Jogi személy'!T:T,MATCH(Táblázat4[[#This Row],[IKTATÓ]],'Jogi személy'!V:V,0)),""))</f>
        <v/>
      </c>
      <c r="T6" t="str">
        <f>IFERROR(INDEX(Magánszemély!T:T,MATCH(Táblázat4[[#This Row],[IKTATÓ]],Magánszemély!U:U,0)),IFERROR(INDEX('Jogi személy'!U:U,MATCH(Táblázat4[[#This Row],[IKTATÓ]],'Jogi személy'!V:V,0)),""))</f>
        <v/>
      </c>
      <c r="V6" t="str">
        <f>IFERROR(INDEX(Magánszemély!V:V,MATCH(Táblázat4[[#This Row],[IKTATÓ]],Magánszemély!U:U,0)),IFERROR(INDEX('Jogi személy'!W:W,MATCH(Táblázat4[[#This Row],[IKTATÓ]],'Jogi személy'!V:V,0)),""))</f>
        <v/>
      </c>
      <c r="W6" t="str">
        <f>IFERROR(INDEX(Magánszemély!W:W,MATCH(Táblázat4[[#This Row],[IKTATÓ]],Magánszemély!U:U,0)),IFERROR(INDEX('Jogi személy'!X:X,MATCH(Táblázat4[[#This Row],[IKTATÓ]],'Jogi személy'!V:V,0)),""))</f>
        <v/>
      </c>
      <c r="X6" t="str">
        <f>IFERROR(INDEX(Magánszemély!X:X,MATCH(Táblázat4[[#This Row],[IKTATÓ]],Magánszemély!U:U,0)),IFERROR(INDEX('Jogi személy'!Y:Y,MATCH(Táblázat4[[#This Row],[IKTATÓ]],'Jogi személy'!V:V,0)),""))</f>
        <v/>
      </c>
      <c r="Y6" t="str">
        <f>IFERROR(INDEX(Magánszemély!Y:Y,MATCH(Táblázat4[[#This Row],[IKTATÓ]],Magánszemély!U:U,0)),IFERROR(INDEX('Jogi személy'!Z:Z,MATCH(Táblázat4[[#This Row],[IKTATÓ]],'Jogi személy'!V:V,0)),""))</f>
        <v/>
      </c>
      <c r="Z6" t="str">
        <f>IFERROR(INDEX(Magánszemély!Z:Z,MATCH(Táblázat4[[#This Row],[IKTATÓ]],Magánszemély!U:U,0)),IFERROR(INDEX('Jogi személy'!AA:AA,MATCH(Táblázat4[[#This Row],[IKTATÓ]],'Jogi személy'!V:V,0)),""))</f>
        <v/>
      </c>
      <c r="AA6" t="str">
        <f>IFERROR(INDEX(Magánszemély!AA:AA,MATCH(Táblázat4[[#This Row],[IKTATÓ]],Magánszemély!U:U,0)),IFERROR(INDEX('Jogi személy'!AB:AB,MATCH(Táblázat4[[#This Row],[IKTATÓ]],'Jogi személy'!V:V,0)),""))</f>
        <v/>
      </c>
      <c r="AB6" t="str">
        <f>IFERROR(INDEX(Magánszemély!AB:AB,MATCH(Táblázat4[[#This Row],[IKTATÓ]],Magánszemély!U:U,0)),IFERROR(INDEX('Jogi személy'!AC:AC,MATCH(Táblázat4[[#This Row],[IKTATÓ]],'Jogi személy'!V:V,0)),""))</f>
        <v/>
      </c>
      <c r="AC6" t="str">
        <f>IFERROR(INDEX(Magánszemély!AC:AC,MATCH(Táblázat4[[#This Row],[IKTATÓ]],Magánszemély!U:U,0)),IFERROR(INDEX('Jogi személy'!AD:AD,MATCH(Táblázat4[[#This Row],[IKTATÓ]],'Jogi személy'!V:V,0)),""))</f>
        <v/>
      </c>
      <c r="AD6" t="str">
        <f>IFERROR(INDEX('Jogi személy'!I:I,MATCH(Táblázat4[[#This Row],[IKTATÓ]],'Jogi személy'!V:V,0)),"")</f>
        <v/>
      </c>
      <c r="AE6" t="str">
        <f>IFERROR(INDEX('Jogi személy'!J:J,MATCH(Táblázat4[[#This Row],[IKTATÓ]],'Jogi személy'!V:V,0)),"")</f>
        <v/>
      </c>
      <c r="AF6" t="str">
        <f>IFERROR(INDEX('Jogi személy'!K:K,MATCH(Táblázat4[[#This Row],[IKTATÓ]],'Jogi személy'!V:V,0)),"")</f>
        <v/>
      </c>
      <c r="AG6" t="str">
        <f>IFERROR(INDEX('Jogi személy'!L:L,MATCH(Táblázat4[[#This Row],[IKTATÓ]],'Jogi személy'!V:V,0)),"")</f>
        <v/>
      </c>
    </row>
    <row r="7" spans="1:34" ht="13.5" customHeight="1" x14ac:dyDescent="0.25">
      <c r="A7" t="str">
        <f>IFERROR(INDEX(Magánszemély!A:A,MATCH(Táblázat4[[#This Row],[IKTATÓ]],Magánszemély!U:U,0)),IFERROR(INDEX('Jogi személy'!A:A,MATCH(Táblázat4[[#This Row],[IKTATÓ]],'Jogi személy'!V:V,0)),""))</f>
        <v/>
      </c>
      <c r="B7" t="str">
        <f>IFERROR(INDEX(Magánszemély!B:B,MATCH(Táblázat4[[#This Row],[IKTATÓ]],Magánszemély!U:U,0)),IFERROR(INDEX('Jogi személy'!B:B,MATCH(Táblázat4[[#This Row],[IKTATÓ]],'Jogi személy'!V:V,0)),""))</f>
        <v/>
      </c>
      <c r="C7" t="str">
        <f>IFERROR(INDEX(Magánszemély!C:C,MATCH(Táblázat4[[#This Row],[IKTATÓ]],Magánszemély!U:U,0)),IFERROR(INDEX('Jogi személy'!C:C,MATCH(Táblázat4[[#This Row],[IKTATÓ]],'Jogi személy'!V:V,0)),""))</f>
        <v/>
      </c>
      <c r="D7" t="str">
        <f>IFERROR(INDEX(Magánszemély!D:D,MATCH(Táblázat4[[#This Row],[IKTATÓ]],Magánszemély!U:U,0)),IFERROR(INDEX('Jogi személy'!D:D,MATCH(Táblázat4[[#This Row],[IKTATÓ]],'Jogi személy'!V:V,0)),""))</f>
        <v/>
      </c>
      <c r="E7" t="str">
        <f>IFERROR(INDEX(Magánszemély!E:E,MATCH(Táblázat4[[#This Row],[IKTATÓ]],Magánszemély!U:U,0)),IFERROR(INDEX('Jogi személy'!E:E,MATCH(Táblázat4[[#This Row],[IKTATÓ]],'Jogi személy'!V:V,0)),""))</f>
        <v/>
      </c>
      <c r="F7" t="str">
        <f>IFERROR(INDEX(Magánszemély!F:F,MATCH(Táblázat4[[#This Row],[IKTATÓ]],Magánszemély!U:U,0)),IFERROR(INDEX('Jogi személy'!F:F,MATCH(Táblázat4[[#This Row],[IKTATÓ]],'Jogi személy'!V:V,0)),""))</f>
        <v/>
      </c>
      <c r="G7" t="str">
        <f>IFERROR(INDEX(Magánszemély!G:G,MATCH(Táblázat4[[#This Row],[IKTATÓ]],Magánszemély!U:U,0)),IFERROR(INDEX('Jogi személy'!G:G,MATCH(Táblázat4[[#This Row],[IKTATÓ]],'Jogi személy'!V:V,0)),""))</f>
        <v/>
      </c>
      <c r="H7" t="str">
        <f>IFERROR(INDEX(Magánszemély!H:H,MATCH(Táblázat4[[#This Row],[IKTATÓ]],Magánszemély!U:U,0)),IFERROR(INDEX('Jogi személy'!H:H,MATCH(Táblázat4[[#This Row],[IKTATÓ]],'Jogi személy'!V:V,0)),""))</f>
        <v/>
      </c>
      <c r="I7" t="str">
        <f>IFERROR(INDEX(Magánszemély!I:I,MATCH(Táblázat4[[#This Row],[IKTATÓ]],Magánszemély!U:U,0)),"")</f>
        <v/>
      </c>
      <c r="J7" t="str">
        <f>IFERROR(INDEX(Magánszemély!J:J,MATCH(Táblázat4[[#This Row],[IKTATÓ]],Magánszemély!U:U,0)),"")</f>
        <v/>
      </c>
      <c r="K7" t="str">
        <f>IFERROR(INDEX(Magánszemély!K:K,MATCH(Táblázat4[[#This Row],[IKTATÓ]],Magánszemély!U:U,0)),"")</f>
        <v/>
      </c>
      <c r="L7" t="str">
        <f>IFERROR(INDEX(Magánszemély!L:L,MATCH(Táblázat4[[#This Row],[IKTATÓ]],Magánszemély!U:U,0)),IFERROR(INDEX('Jogi személy'!M:M,MATCH(Táblázat4[[#This Row],[IKTATÓ]],'Jogi személy'!V:V,0)),""))</f>
        <v/>
      </c>
      <c r="M7" t="str">
        <f>IFERROR(INDEX(Magánszemély!M:M,MATCH(Táblázat4[[#This Row],[IKTATÓ]],Magánszemély!U:U,0)),IFERROR(INDEX('Jogi személy'!N:N,MATCH(Táblázat4[[#This Row],[IKTATÓ]],'Jogi személy'!V:V,0)),""))</f>
        <v/>
      </c>
      <c r="N7" t="str">
        <f>IFERROR(INDEX(Magánszemély!N:N,MATCH(Táblázat4[[#This Row],[IKTATÓ]],Magánszemély!U:U,0)),IFERROR(INDEX('Jogi személy'!O:O,MATCH(Táblázat4[[#This Row],[IKTATÓ]],'Jogi személy'!V:V,0)),""))</f>
        <v/>
      </c>
      <c r="O7" t="str">
        <f>IFERROR(INDEX(Magánszemély!O:O,MATCH(Táblázat4[[#This Row],[IKTATÓ]],Magánszemély!U:U,0)),IFERROR(INDEX('Jogi személy'!P:P,MATCH(Táblázat4[[#This Row],[IKTATÓ]],'Jogi személy'!V:V,0)),""))</f>
        <v/>
      </c>
      <c r="P7" t="str">
        <f>IFERROR(INDEX(Magánszemély!P:P,MATCH(Táblázat4[[#This Row],[IKTATÓ]],Magánszemély!U:U,0)),IFERROR(INDEX('Jogi személy'!Q:Q,MATCH(Táblázat4[[#This Row],[IKTATÓ]],'Jogi személy'!V:V,0)),""))</f>
        <v/>
      </c>
      <c r="Q7" t="str">
        <f>IFERROR(INDEX(Magánszemély!Q:Q,MATCH(Táblázat4[[#This Row],[IKTATÓ]],Magánszemély!U:U,0)),IFERROR(INDEX('Jogi személy'!R:R,MATCH(Táblázat4[[#This Row],[IKTATÓ]],'Jogi személy'!V:V,0)),""))</f>
        <v/>
      </c>
      <c r="R7" t="str">
        <f>IFERROR(INDEX(Magánszemély!R:R,MATCH(Táblázat4[[#This Row],[IKTATÓ]],Magánszemély!U:U,0)),IFERROR(INDEX('Jogi személy'!S:S,MATCH(Táblázat4[[#This Row],[IKTATÓ]],'Jogi személy'!V:V,0)),""))</f>
        <v/>
      </c>
      <c r="S7" t="str">
        <f>IFERROR(INDEX(Magánszemély!S:S,MATCH(Táblázat4[[#This Row],[IKTATÓ]],Magánszemély!U:U,0)),IFERROR(INDEX('Jogi személy'!T:T,MATCH(Táblázat4[[#This Row],[IKTATÓ]],'Jogi személy'!V:V,0)),""))</f>
        <v/>
      </c>
      <c r="T7" t="str">
        <f>IFERROR(INDEX(Magánszemély!T:T,MATCH(Táblázat4[[#This Row],[IKTATÓ]],Magánszemély!U:U,0)),IFERROR(INDEX('Jogi személy'!U:U,MATCH(Táblázat4[[#This Row],[IKTATÓ]],'Jogi személy'!V:V,0)),""))</f>
        <v/>
      </c>
      <c r="V7" t="str">
        <f>IFERROR(INDEX(Magánszemély!V:V,MATCH(Táblázat4[[#This Row],[IKTATÓ]],Magánszemély!U:U,0)),IFERROR(INDEX('Jogi személy'!W:W,MATCH(Táblázat4[[#This Row],[IKTATÓ]],'Jogi személy'!V:V,0)),""))</f>
        <v/>
      </c>
      <c r="W7" t="str">
        <f>IFERROR(INDEX(Magánszemély!W:W,MATCH(Táblázat4[[#This Row],[IKTATÓ]],Magánszemély!U:U,0)),IFERROR(INDEX('Jogi személy'!X:X,MATCH(Táblázat4[[#This Row],[IKTATÓ]],'Jogi személy'!V:V,0)),""))</f>
        <v/>
      </c>
      <c r="X7" t="str">
        <f>IFERROR(INDEX(Magánszemély!X:X,MATCH(Táblázat4[[#This Row],[IKTATÓ]],Magánszemély!U:U,0)),IFERROR(INDEX('Jogi személy'!Y:Y,MATCH(Táblázat4[[#This Row],[IKTATÓ]],'Jogi személy'!V:V,0)),""))</f>
        <v/>
      </c>
      <c r="Y7" t="str">
        <f>IFERROR(INDEX(Magánszemély!Y:Y,MATCH(Táblázat4[[#This Row],[IKTATÓ]],Magánszemély!U:U,0)),IFERROR(INDEX('Jogi személy'!Z:Z,MATCH(Táblázat4[[#This Row],[IKTATÓ]],'Jogi személy'!V:V,0)),""))</f>
        <v/>
      </c>
      <c r="Z7" t="str">
        <f>IFERROR(INDEX(Magánszemély!Z:Z,MATCH(Táblázat4[[#This Row],[IKTATÓ]],Magánszemély!U:U,0)),IFERROR(INDEX('Jogi személy'!AA:AA,MATCH(Táblázat4[[#This Row],[IKTATÓ]],'Jogi személy'!V:V,0)),""))</f>
        <v/>
      </c>
      <c r="AA7" t="str">
        <f>IFERROR(INDEX(Magánszemély!AA:AA,MATCH(Táblázat4[[#This Row],[IKTATÓ]],Magánszemély!U:U,0)),IFERROR(INDEX('Jogi személy'!AB:AB,MATCH(Táblázat4[[#This Row],[IKTATÓ]],'Jogi személy'!V:V,0)),""))</f>
        <v/>
      </c>
      <c r="AB7" t="str">
        <f>IFERROR(INDEX(Magánszemély!AB:AB,MATCH(Táblázat4[[#This Row],[IKTATÓ]],Magánszemély!U:U,0)),IFERROR(INDEX('Jogi személy'!AC:AC,MATCH(Táblázat4[[#This Row],[IKTATÓ]],'Jogi személy'!V:V,0)),""))</f>
        <v/>
      </c>
      <c r="AC7" t="str">
        <f>IFERROR(INDEX(Magánszemély!AC:AC,MATCH(Táblázat4[[#This Row],[IKTATÓ]],Magánszemély!U:U,0)),IFERROR(INDEX('Jogi személy'!AD:AD,MATCH(Táblázat4[[#This Row],[IKTATÓ]],'Jogi személy'!V:V,0)),""))</f>
        <v/>
      </c>
      <c r="AD7" t="str">
        <f>IFERROR(INDEX('Jogi személy'!I:I,MATCH(Táblázat4[[#This Row],[IKTATÓ]],'Jogi személy'!V:V,0)),"")</f>
        <v/>
      </c>
      <c r="AE7" t="str">
        <f>IFERROR(INDEX('Jogi személy'!J:J,MATCH(Táblázat4[[#This Row],[IKTATÓ]],'Jogi személy'!V:V,0)),"")</f>
        <v/>
      </c>
      <c r="AF7" t="str">
        <f>IFERROR(INDEX('Jogi személy'!K:K,MATCH(Táblázat4[[#This Row],[IKTATÓ]],'Jogi személy'!V:V,0)),"")</f>
        <v/>
      </c>
      <c r="AG7" t="str">
        <f>IFERROR(INDEX('Jogi személy'!L:L,MATCH(Táblázat4[[#This Row],[IKTATÓ]],'Jogi személy'!V:V,0)),"")</f>
        <v/>
      </c>
    </row>
    <row r="8" spans="1:34" x14ac:dyDescent="0.25">
      <c r="A8" t="str">
        <f>IFERROR(INDEX(Magánszemély!A:A,MATCH(Táblázat4[[#This Row],[IKTATÓ]],Magánszemély!U:U,0)),IFERROR(INDEX('Jogi személy'!A:A,MATCH(Táblázat4[[#This Row],[IKTATÓ]],'Jogi személy'!V:V,0)),""))</f>
        <v/>
      </c>
      <c r="B8" t="str">
        <f>IFERROR(INDEX(Magánszemély!B:B,MATCH(Táblázat4[[#This Row],[IKTATÓ]],Magánszemély!U:U,0)),IFERROR(INDEX('Jogi személy'!B:B,MATCH(Táblázat4[[#This Row],[IKTATÓ]],'Jogi személy'!V:V,0)),""))</f>
        <v/>
      </c>
      <c r="C8" t="str">
        <f>IFERROR(INDEX(Magánszemély!C:C,MATCH(Táblázat4[[#This Row],[IKTATÓ]],Magánszemély!U:U,0)),IFERROR(INDEX('Jogi személy'!C:C,MATCH(Táblázat4[[#This Row],[IKTATÓ]],'Jogi személy'!V:V,0)),""))</f>
        <v/>
      </c>
      <c r="D8" t="str">
        <f>IFERROR(INDEX(Magánszemély!D:D,MATCH(Táblázat4[[#This Row],[IKTATÓ]],Magánszemély!U:U,0)),IFERROR(INDEX('Jogi személy'!D:D,MATCH(Táblázat4[[#This Row],[IKTATÓ]],'Jogi személy'!V:V,0)),""))</f>
        <v/>
      </c>
      <c r="E8" t="str">
        <f>IFERROR(INDEX(Magánszemély!E:E,MATCH(Táblázat4[[#This Row],[IKTATÓ]],Magánszemély!U:U,0)),IFERROR(INDEX('Jogi személy'!E:E,MATCH(Táblázat4[[#This Row],[IKTATÓ]],'Jogi személy'!V:V,0)),""))</f>
        <v/>
      </c>
      <c r="F8" t="str">
        <f>IFERROR(INDEX(Magánszemély!F:F,MATCH(Táblázat4[[#This Row],[IKTATÓ]],Magánszemély!U:U,0)),IFERROR(INDEX('Jogi személy'!F:F,MATCH(Táblázat4[[#This Row],[IKTATÓ]],'Jogi személy'!V:V,0)),""))</f>
        <v/>
      </c>
      <c r="G8" t="str">
        <f>IFERROR(INDEX(Magánszemély!G:G,MATCH(Táblázat4[[#This Row],[IKTATÓ]],Magánszemély!U:U,0)),IFERROR(INDEX('Jogi személy'!G:G,MATCH(Táblázat4[[#This Row],[IKTATÓ]],'Jogi személy'!V:V,0)),""))</f>
        <v/>
      </c>
      <c r="H8" t="str">
        <f>IFERROR(INDEX(Magánszemély!H:H,MATCH(Táblázat4[[#This Row],[IKTATÓ]],Magánszemély!U:U,0)),IFERROR(INDEX('Jogi személy'!H:H,MATCH(Táblázat4[[#This Row],[IKTATÓ]],'Jogi személy'!V:V,0)),""))</f>
        <v/>
      </c>
      <c r="I8" t="str">
        <f>IFERROR(INDEX(Magánszemély!I:I,MATCH(Táblázat4[[#This Row],[IKTATÓ]],Magánszemély!U:U,0)),"")</f>
        <v/>
      </c>
      <c r="J8" t="str">
        <f>IFERROR(INDEX(Magánszemély!J:J,MATCH(Táblázat4[[#This Row],[IKTATÓ]],Magánszemély!U:U,0)),"")</f>
        <v/>
      </c>
      <c r="K8" t="str">
        <f>IFERROR(INDEX(Magánszemély!K:K,MATCH(Táblázat4[[#This Row],[IKTATÓ]],Magánszemély!U:U,0)),"")</f>
        <v/>
      </c>
      <c r="L8" t="str">
        <f>IFERROR(INDEX(Magánszemély!L:L,MATCH(Táblázat4[[#This Row],[IKTATÓ]],Magánszemély!U:U,0)),IFERROR(INDEX('Jogi személy'!M:M,MATCH(Táblázat4[[#This Row],[IKTATÓ]],'Jogi személy'!V:V,0)),""))</f>
        <v/>
      </c>
      <c r="M8" t="str">
        <f>IFERROR(INDEX(Magánszemély!M:M,MATCH(Táblázat4[[#This Row],[IKTATÓ]],Magánszemély!U:U,0)),IFERROR(INDEX('Jogi személy'!N:N,MATCH(Táblázat4[[#This Row],[IKTATÓ]],'Jogi személy'!V:V,0)),""))</f>
        <v/>
      </c>
      <c r="N8" t="str">
        <f>IFERROR(INDEX(Magánszemély!N:N,MATCH(Táblázat4[[#This Row],[IKTATÓ]],Magánszemély!U:U,0)),IFERROR(INDEX('Jogi személy'!O:O,MATCH(Táblázat4[[#This Row],[IKTATÓ]],'Jogi személy'!V:V,0)),""))</f>
        <v/>
      </c>
      <c r="O8" t="str">
        <f>IFERROR(INDEX(Magánszemély!O:O,MATCH(Táblázat4[[#This Row],[IKTATÓ]],Magánszemély!U:U,0)),IFERROR(INDEX('Jogi személy'!P:P,MATCH(Táblázat4[[#This Row],[IKTATÓ]],'Jogi személy'!V:V,0)),""))</f>
        <v/>
      </c>
      <c r="P8" t="str">
        <f>IFERROR(INDEX(Magánszemély!P:P,MATCH(Táblázat4[[#This Row],[IKTATÓ]],Magánszemély!U:U,0)),IFERROR(INDEX('Jogi személy'!Q:Q,MATCH(Táblázat4[[#This Row],[IKTATÓ]],'Jogi személy'!V:V,0)),""))</f>
        <v/>
      </c>
      <c r="Q8" t="str">
        <f>IFERROR(INDEX(Magánszemély!Q:Q,MATCH(Táblázat4[[#This Row],[IKTATÓ]],Magánszemély!U:U,0)),IFERROR(INDEX('Jogi személy'!R:R,MATCH(Táblázat4[[#This Row],[IKTATÓ]],'Jogi személy'!V:V,0)),""))</f>
        <v/>
      </c>
      <c r="R8" t="str">
        <f>IFERROR(INDEX(Magánszemély!R:R,MATCH(Táblázat4[[#This Row],[IKTATÓ]],Magánszemély!U:U,0)),IFERROR(INDEX('Jogi személy'!S:S,MATCH(Táblázat4[[#This Row],[IKTATÓ]],'Jogi személy'!V:V,0)),""))</f>
        <v/>
      </c>
      <c r="S8" t="str">
        <f>IFERROR(INDEX(Magánszemély!S:S,MATCH(Táblázat4[[#This Row],[IKTATÓ]],Magánszemély!U:U,0)),IFERROR(INDEX('Jogi személy'!T:T,MATCH(Táblázat4[[#This Row],[IKTATÓ]],'Jogi személy'!V:V,0)),""))</f>
        <v/>
      </c>
      <c r="T8" t="str">
        <f>IFERROR(INDEX(Magánszemély!T:T,MATCH(Táblázat4[[#This Row],[IKTATÓ]],Magánszemély!U:U,0)),IFERROR(INDEX('Jogi személy'!U:U,MATCH(Táblázat4[[#This Row],[IKTATÓ]],'Jogi személy'!V:V,0)),""))</f>
        <v/>
      </c>
      <c r="V8" t="str">
        <f>IFERROR(INDEX(Magánszemély!V:V,MATCH(Táblázat4[[#This Row],[IKTATÓ]],Magánszemély!U:U,0)),IFERROR(INDEX('Jogi személy'!W:W,MATCH(Táblázat4[[#This Row],[IKTATÓ]],'Jogi személy'!V:V,0)),""))</f>
        <v/>
      </c>
      <c r="W8" t="str">
        <f>IFERROR(INDEX(Magánszemély!W:W,MATCH(Táblázat4[[#This Row],[IKTATÓ]],Magánszemély!U:U,0)),IFERROR(INDEX('Jogi személy'!X:X,MATCH(Táblázat4[[#This Row],[IKTATÓ]],'Jogi személy'!V:V,0)),""))</f>
        <v/>
      </c>
      <c r="X8" t="str">
        <f>IFERROR(INDEX(Magánszemély!X:X,MATCH(Táblázat4[[#This Row],[IKTATÓ]],Magánszemély!U:U,0)),IFERROR(INDEX('Jogi személy'!Y:Y,MATCH(Táblázat4[[#This Row],[IKTATÓ]],'Jogi személy'!V:V,0)),""))</f>
        <v/>
      </c>
      <c r="Y8" t="str">
        <f>IFERROR(INDEX(Magánszemély!Y:Y,MATCH(Táblázat4[[#This Row],[IKTATÓ]],Magánszemély!U:U,0)),IFERROR(INDEX('Jogi személy'!Z:Z,MATCH(Táblázat4[[#This Row],[IKTATÓ]],'Jogi személy'!V:V,0)),""))</f>
        <v/>
      </c>
      <c r="Z8" t="str">
        <f>IFERROR(INDEX(Magánszemély!Z:Z,MATCH(Táblázat4[[#This Row],[IKTATÓ]],Magánszemély!U:U,0)),IFERROR(INDEX('Jogi személy'!AA:AA,MATCH(Táblázat4[[#This Row],[IKTATÓ]],'Jogi személy'!V:V,0)),""))</f>
        <v/>
      </c>
      <c r="AA8" t="str">
        <f>IFERROR(INDEX(Magánszemély!AA:AA,MATCH(Táblázat4[[#This Row],[IKTATÓ]],Magánszemély!U:U,0)),IFERROR(INDEX('Jogi személy'!AB:AB,MATCH(Táblázat4[[#This Row],[IKTATÓ]],'Jogi személy'!V:V,0)),""))</f>
        <v/>
      </c>
      <c r="AB8" t="str">
        <f>IFERROR(INDEX(Magánszemély!AB:AB,MATCH(Táblázat4[[#This Row],[IKTATÓ]],Magánszemély!U:U,0)),IFERROR(INDEX('Jogi személy'!AC:AC,MATCH(Táblázat4[[#This Row],[IKTATÓ]],'Jogi személy'!V:V,0)),""))</f>
        <v/>
      </c>
      <c r="AC8" t="str">
        <f>IFERROR(INDEX(Magánszemély!AC:AC,MATCH(Táblázat4[[#This Row],[IKTATÓ]],Magánszemély!U:U,0)),IFERROR(INDEX('Jogi személy'!AD:AD,MATCH(Táblázat4[[#This Row],[IKTATÓ]],'Jogi személy'!V:V,0)),""))</f>
        <v/>
      </c>
      <c r="AD8" t="str">
        <f>IFERROR(INDEX('Jogi személy'!I:I,MATCH(Táblázat4[[#This Row],[IKTATÓ]],'Jogi személy'!V:V,0)),"")</f>
        <v/>
      </c>
      <c r="AE8" t="str">
        <f>IFERROR(INDEX('Jogi személy'!J:J,MATCH(Táblázat4[[#This Row],[IKTATÓ]],'Jogi személy'!V:V,0)),"")</f>
        <v/>
      </c>
      <c r="AF8" t="str">
        <f>IFERROR(INDEX('Jogi személy'!K:K,MATCH(Táblázat4[[#This Row],[IKTATÓ]],'Jogi személy'!V:V,0)),"")</f>
        <v/>
      </c>
      <c r="AG8" t="str">
        <f>IFERROR(INDEX('Jogi személy'!L:L,MATCH(Táblázat4[[#This Row],[IKTATÓ]],'Jogi személy'!V:V,0)),"")</f>
        <v/>
      </c>
    </row>
    <row r="9" spans="1:34" x14ac:dyDescent="0.25">
      <c r="A9" t="str">
        <f>IFERROR(INDEX(Magánszemély!A:A,MATCH(Táblázat4[[#This Row],[IKTATÓ]],Magánszemély!U:U,0)),IFERROR(INDEX('Jogi személy'!A:A,MATCH(Táblázat4[[#This Row],[IKTATÓ]],'Jogi személy'!V:V,0)),""))</f>
        <v/>
      </c>
      <c r="B9" t="str">
        <f>IFERROR(INDEX(Magánszemély!B:B,MATCH(Táblázat4[[#This Row],[IKTATÓ]],Magánszemély!U:U,0)),IFERROR(INDEX('Jogi személy'!B:B,MATCH(Táblázat4[[#This Row],[IKTATÓ]],'Jogi személy'!V:V,0)),""))</f>
        <v/>
      </c>
      <c r="C9" t="str">
        <f>IFERROR(INDEX(Magánszemély!C:C,MATCH(Táblázat4[[#This Row],[IKTATÓ]],Magánszemély!U:U,0)),IFERROR(INDEX('Jogi személy'!C:C,MATCH(Táblázat4[[#This Row],[IKTATÓ]],'Jogi személy'!V:V,0)),""))</f>
        <v/>
      </c>
      <c r="D9" t="str">
        <f>IFERROR(INDEX(Magánszemély!D:D,MATCH(Táblázat4[[#This Row],[IKTATÓ]],Magánszemély!U:U,0)),IFERROR(INDEX('Jogi személy'!D:D,MATCH(Táblázat4[[#This Row],[IKTATÓ]],'Jogi személy'!V:V,0)),""))</f>
        <v/>
      </c>
      <c r="E9" t="str">
        <f>IFERROR(INDEX(Magánszemély!E:E,MATCH(Táblázat4[[#This Row],[IKTATÓ]],Magánszemély!U:U,0)),IFERROR(INDEX('Jogi személy'!E:E,MATCH(Táblázat4[[#This Row],[IKTATÓ]],'Jogi személy'!V:V,0)),""))</f>
        <v/>
      </c>
      <c r="F9" t="str">
        <f>IFERROR(INDEX(Magánszemély!F:F,MATCH(Táblázat4[[#This Row],[IKTATÓ]],Magánszemély!U:U,0)),IFERROR(INDEX('Jogi személy'!F:F,MATCH(Táblázat4[[#This Row],[IKTATÓ]],'Jogi személy'!V:V,0)),""))</f>
        <v/>
      </c>
      <c r="G9" t="str">
        <f>IFERROR(INDEX(Magánszemély!G:G,MATCH(Táblázat4[[#This Row],[IKTATÓ]],Magánszemély!U:U,0)),IFERROR(INDEX('Jogi személy'!G:G,MATCH(Táblázat4[[#This Row],[IKTATÓ]],'Jogi személy'!V:V,0)),""))</f>
        <v/>
      </c>
      <c r="H9" t="str">
        <f>IFERROR(INDEX(Magánszemély!H:H,MATCH(Táblázat4[[#This Row],[IKTATÓ]],Magánszemély!U:U,0)),IFERROR(INDEX('Jogi személy'!H:H,MATCH(Táblázat4[[#This Row],[IKTATÓ]],'Jogi személy'!V:V,0)),""))</f>
        <v/>
      </c>
      <c r="I9" t="str">
        <f>IFERROR(INDEX(Magánszemély!I:I,MATCH(Táblázat4[[#This Row],[IKTATÓ]],Magánszemély!U:U,0)),"")</f>
        <v/>
      </c>
      <c r="J9" t="str">
        <f>IFERROR(INDEX(Magánszemély!J:J,MATCH(Táblázat4[[#This Row],[IKTATÓ]],Magánszemély!U:U,0)),"")</f>
        <v/>
      </c>
      <c r="K9" t="str">
        <f>IFERROR(INDEX(Magánszemély!K:K,MATCH(Táblázat4[[#This Row],[IKTATÓ]],Magánszemély!U:U,0)),"")</f>
        <v/>
      </c>
      <c r="L9" t="str">
        <f>IFERROR(INDEX(Magánszemély!L:L,MATCH(Táblázat4[[#This Row],[IKTATÓ]],Magánszemély!U:U,0)),IFERROR(INDEX('Jogi személy'!M:M,MATCH(Táblázat4[[#This Row],[IKTATÓ]],'Jogi személy'!V:V,0)),""))</f>
        <v/>
      </c>
      <c r="M9" t="str">
        <f>IFERROR(INDEX(Magánszemély!M:M,MATCH(Táblázat4[[#This Row],[IKTATÓ]],Magánszemély!U:U,0)),IFERROR(INDEX('Jogi személy'!N:N,MATCH(Táblázat4[[#This Row],[IKTATÓ]],'Jogi személy'!V:V,0)),""))</f>
        <v/>
      </c>
      <c r="N9" t="str">
        <f>IFERROR(INDEX(Magánszemély!N:N,MATCH(Táblázat4[[#This Row],[IKTATÓ]],Magánszemély!U:U,0)),IFERROR(INDEX('Jogi személy'!O:O,MATCH(Táblázat4[[#This Row],[IKTATÓ]],'Jogi személy'!V:V,0)),""))</f>
        <v/>
      </c>
      <c r="O9" t="str">
        <f>IFERROR(INDEX(Magánszemély!O:O,MATCH(Táblázat4[[#This Row],[IKTATÓ]],Magánszemély!U:U,0)),IFERROR(INDEX('Jogi személy'!P:P,MATCH(Táblázat4[[#This Row],[IKTATÓ]],'Jogi személy'!V:V,0)),""))</f>
        <v/>
      </c>
      <c r="P9" t="str">
        <f>IFERROR(INDEX(Magánszemély!P:P,MATCH(Táblázat4[[#This Row],[IKTATÓ]],Magánszemély!U:U,0)),IFERROR(INDEX('Jogi személy'!Q:Q,MATCH(Táblázat4[[#This Row],[IKTATÓ]],'Jogi személy'!V:V,0)),""))</f>
        <v/>
      </c>
      <c r="Q9" t="str">
        <f>IFERROR(INDEX(Magánszemély!Q:Q,MATCH(Táblázat4[[#This Row],[IKTATÓ]],Magánszemély!U:U,0)),IFERROR(INDEX('Jogi személy'!R:R,MATCH(Táblázat4[[#This Row],[IKTATÓ]],'Jogi személy'!V:V,0)),""))</f>
        <v/>
      </c>
      <c r="R9" t="str">
        <f>IFERROR(INDEX(Magánszemély!R:R,MATCH(Táblázat4[[#This Row],[IKTATÓ]],Magánszemély!U:U,0)),IFERROR(INDEX('Jogi személy'!S:S,MATCH(Táblázat4[[#This Row],[IKTATÓ]],'Jogi személy'!V:V,0)),""))</f>
        <v/>
      </c>
      <c r="S9" t="str">
        <f>IFERROR(INDEX(Magánszemély!S:S,MATCH(Táblázat4[[#This Row],[IKTATÓ]],Magánszemély!U:U,0)),IFERROR(INDEX('Jogi személy'!T:T,MATCH(Táblázat4[[#This Row],[IKTATÓ]],'Jogi személy'!V:V,0)),""))</f>
        <v/>
      </c>
      <c r="T9" t="str">
        <f>IFERROR(INDEX(Magánszemély!T:T,MATCH(Táblázat4[[#This Row],[IKTATÓ]],Magánszemély!U:U,0)),IFERROR(INDEX('Jogi személy'!U:U,MATCH(Táblázat4[[#This Row],[IKTATÓ]],'Jogi személy'!V:V,0)),""))</f>
        <v/>
      </c>
      <c r="U9" s="35"/>
      <c r="V9" t="str">
        <f>IFERROR(INDEX(Magánszemély!V:V,MATCH(Táblázat4[[#This Row],[IKTATÓ]],Magánszemély!U:U,0)),IFERROR(INDEX('Jogi személy'!W:W,MATCH(Táblázat4[[#This Row],[IKTATÓ]],'Jogi személy'!V:V,0)),""))</f>
        <v/>
      </c>
      <c r="W9" t="str">
        <f>IFERROR(INDEX(Magánszemély!W:W,MATCH(Táblázat4[[#This Row],[IKTATÓ]],Magánszemély!U:U,0)),IFERROR(INDEX('Jogi személy'!X:X,MATCH(Táblázat4[[#This Row],[IKTATÓ]],'Jogi személy'!V:V,0)),""))</f>
        <v/>
      </c>
      <c r="X9" t="str">
        <f>IFERROR(INDEX(Magánszemély!X:X,MATCH(Táblázat4[[#This Row],[IKTATÓ]],Magánszemély!U:U,0)),IFERROR(INDEX('Jogi személy'!Y:Y,MATCH(Táblázat4[[#This Row],[IKTATÓ]],'Jogi személy'!V:V,0)),""))</f>
        <v/>
      </c>
      <c r="Y9" t="str">
        <f>IFERROR(INDEX(Magánszemély!Y:Y,MATCH(Táblázat4[[#This Row],[IKTATÓ]],Magánszemély!U:U,0)),IFERROR(INDEX('Jogi személy'!Z:Z,MATCH(Táblázat4[[#This Row],[IKTATÓ]],'Jogi személy'!V:V,0)),""))</f>
        <v/>
      </c>
      <c r="Z9" t="str">
        <f>IFERROR(INDEX(Magánszemély!Z:Z,MATCH(Táblázat4[[#This Row],[IKTATÓ]],Magánszemély!U:U,0)),IFERROR(INDEX('Jogi személy'!AA:AA,MATCH(Táblázat4[[#This Row],[IKTATÓ]],'Jogi személy'!V:V,0)),""))</f>
        <v/>
      </c>
      <c r="AA9" t="str">
        <f>IFERROR(INDEX(Magánszemély!AA:AA,MATCH(Táblázat4[[#This Row],[IKTATÓ]],Magánszemély!U:U,0)),IFERROR(INDEX('Jogi személy'!AB:AB,MATCH(Táblázat4[[#This Row],[IKTATÓ]],'Jogi személy'!V:V,0)),""))</f>
        <v/>
      </c>
      <c r="AB9" t="str">
        <f>IFERROR(INDEX(Magánszemély!AB:AB,MATCH(Táblázat4[[#This Row],[IKTATÓ]],Magánszemély!U:U,0)),IFERROR(INDEX('Jogi személy'!AC:AC,MATCH(Táblázat4[[#This Row],[IKTATÓ]],'Jogi személy'!V:V,0)),""))</f>
        <v/>
      </c>
      <c r="AC9" t="str">
        <f>IFERROR(INDEX(Magánszemély!AC:AC,MATCH(Táblázat4[[#This Row],[IKTATÓ]],Magánszemély!U:U,0)),IFERROR(INDEX('Jogi személy'!AD:AD,MATCH(Táblázat4[[#This Row],[IKTATÓ]],'Jogi személy'!V:V,0)),""))</f>
        <v/>
      </c>
      <c r="AD9" t="str">
        <f>IFERROR(INDEX('Jogi személy'!I:I,MATCH(Táblázat4[[#This Row],[IKTATÓ]],'Jogi személy'!V:V,0)),"")</f>
        <v/>
      </c>
      <c r="AE9" t="str">
        <f>IFERROR(INDEX('Jogi személy'!J:J,MATCH(Táblázat4[[#This Row],[IKTATÓ]],'Jogi személy'!V:V,0)),"")</f>
        <v/>
      </c>
      <c r="AF9" t="str">
        <f>IFERROR(INDEX('Jogi személy'!K:K,MATCH(Táblázat4[[#This Row],[IKTATÓ]],'Jogi személy'!V:V,0)),"")</f>
        <v/>
      </c>
      <c r="AG9" t="str">
        <f>IFERROR(INDEX('Jogi személy'!L:L,MATCH(Táblázat4[[#This Row],[IKTATÓ]],'Jogi személy'!V:V,0)),"")</f>
        <v/>
      </c>
    </row>
    <row r="10" spans="1:34" x14ac:dyDescent="0.25">
      <c r="A10" t="str">
        <f>IFERROR(INDEX(Magánszemély!A:A,MATCH(Táblázat4[[#This Row],[IKTATÓ]],Magánszemély!U:U,0)),IFERROR(INDEX('Jogi személy'!A:A,MATCH(Táblázat4[[#This Row],[IKTATÓ]],'Jogi személy'!V:V,0)),""))</f>
        <v/>
      </c>
      <c r="B10" t="str">
        <f>IFERROR(INDEX(Magánszemély!B:B,MATCH(Táblázat4[[#This Row],[IKTATÓ]],Magánszemély!U:U,0)),IFERROR(INDEX('Jogi személy'!B:B,MATCH(Táblázat4[[#This Row],[IKTATÓ]],'Jogi személy'!V:V,0)),""))</f>
        <v/>
      </c>
      <c r="C10" t="str">
        <f>IFERROR(INDEX(Magánszemély!C:C,MATCH(Táblázat4[[#This Row],[IKTATÓ]],Magánszemély!U:U,0)),IFERROR(INDEX('Jogi személy'!C:C,MATCH(Táblázat4[[#This Row],[IKTATÓ]],'Jogi személy'!V:V,0)),""))</f>
        <v/>
      </c>
      <c r="D10" t="str">
        <f>IFERROR(INDEX(Magánszemély!D:D,MATCH(Táblázat4[[#This Row],[IKTATÓ]],Magánszemély!U:U,0)),IFERROR(INDEX('Jogi személy'!D:D,MATCH(Táblázat4[[#This Row],[IKTATÓ]],'Jogi személy'!V:V,0)),""))</f>
        <v/>
      </c>
      <c r="E10" t="str">
        <f>IFERROR(INDEX(Magánszemély!E:E,MATCH(Táblázat4[[#This Row],[IKTATÓ]],Magánszemély!U:U,0)),IFERROR(INDEX('Jogi személy'!E:E,MATCH(Táblázat4[[#This Row],[IKTATÓ]],'Jogi személy'!V:V,0)),""))</f>
        <v/>
      </c>
      <c r="F10" t="str">
        <f>IFERROR(INDEX(Magánszemély!F:F,MATCH(Táblázat4[[#This Row],[IKTATÓ]],Magánszemély!U:U,0)),IFERROR(INDEX('Jogi személy'!F:F,MATCH(Táblázat4[[#This Row],[IKTATÓ]],'Jogi személy'!V:V,0)),""))</f>
        <v/>
      </c>
      <c r="G10" t="str">
        <f>IFERROR(INDEX(Magánszemély!G:G,MATCH(Táblázat4[[#This Row],[IKTATÓ]],Magánszemély!U:U,0)),IFERROR(INDEX('Jogi személy'!G:G,MATCH(Táblázat4[[#This Row],[IKTATÓ]],'Jogi személy'!V:V,0)),""))</f>
        <v/>
      </c>
      <c r="H10" t="str">
        <f>IFERROR(INDEX(Magánszemély!H:H,MATCH(Táblázat4[[#This Row],[IKTATÓ]],Magánszemély!U:U,0)),IFERROR(INDEX('Jogi személy'!H:H,MATCH(Táblázat4[[#This Row],[IKTATÓ]],'Jogi személy'!V:V,0)),""))</f>
        <v/>
      </c>
      <c r="I10" t="str">
        <f>IFERROR(INDEX(Magánszemély!I:I,MATCH(Táblázat4[[#This Row],[IKTATÓ]],Magánszemély!U:U,0)),"")</f>
        <v/>
      </c>
      <c r="J10" t="str">
        <f>IFERROR(INDEX(Magánszemély!J:J,MATCH(Táblázat4[[#This Row],[IKTATÓ]],Magánszemély!U:U,0)),"")</f>
        <v/>
      </c>
      <c r="K10" t="str">
        <f>IFERROR(INDEX(Magánszemély!K:K,MATCH(Táblázat4[[#This Row],[IKTATÓ]],Magánszemély!U:U,0)),"")</f>
        <v/>
      </c>
      <c r="L10" t="str">
        <f>IFERROR(INDEX(Magánszemély!L:L,MATCH(Táblázat4[[#This Row],[IKTATÓ]],Magánszemély!U:U,0)),IFERROR(INDEX('Jogi személy'!M:M,MATCH(Táblázat4[[#This Row],[IKTATÓ]],'Jogi személy'!V:V,0)),""))</f>
        <v/>
      </c>
      <c r="M10" t="str">
        <f>IFERROR(INDEX(Magánszemély!M:M,MATCH(Táblázat4[[#This Row],[IKTATÓ]],Magánszemély!U:U,0)),IFERROR(INDEX('Jogi személy'!N:N,MATCH(Táblázat4[[#This Row],[IKTATÓ]],'Jogi személy'!V:V,0)),""))</f>
        <v/>
      </c>
      <c r="N10" t="str">
        <f>IFERROR(INDEX(Magánszemély!N:N,MATCH(Táblázat4[[#This Row],[IKTATÓ]],Magánszemély!U:U,0)),IFERROR(INDEX('Jogi személy'!O:O,MATCH(Táblázat4[[#This Row],[IKTATÓ]],'Jogi személy'!V:V,0)),""))</f>
        <v/>
      </c>
      <c r="O10" t="str">
        <f>IFERROR(INDEX(Magánszemély!O:O,MATCH(Táblázat4[[#This Row],[IKTATÓ]],Magánszemély!U:U,0)),IFERROR(INDEX('Jogi személy'!P:P,MATCH(Táblázat4[[#This Row],[IKTATÓ]],'Jogi személy'!V:V,0)),""))</f>
        <v/>
      </c>
      <c r="P10" t="str">
        <f>IFERROR(INDEX(Magánszemély!P:P,MATCH(Táblázat4[[#This Row],[IKTATÓ]],Magánszemély!U:U,0)),IFERROR(INDEX('Jogi személy'!Q:Q,MATCH(Táblázat4[[#This Row],[IKTATÓ]],'Jogi személy'!V:V,0)),""))</f>
        <v/>
      </c>
      <c r="Q10" t="str">
        <f>IFERROR(INDEX(Magánszemély!Q:Q,MATCH(Táblázat4[[#This Row],[IKTATÓ]],Magánszemély!U:U,0)),IFERROR(INDEX('Jogi személy'!R:R,MATCH(Táblázat4[[#This Row],[IKTATÓ]],'Jogi személy'!V:V,0)),""))</f>
        <v/>
      </c>
      <c r="R10" t="str">
        <f>IFERROR(INDEX(Magánszemély!R:R,MATCH(Táblázat4[[#This Row],[IKTATÓ]],Magánszemély!U:U,0)),IFERROR(INDEX('Jogi személy'!S:S,MATCH(Táblázat4[[#This Row],[IKTATÓ]],'Jogi személy'!V:V,0)),""))</f>
        <v/>
      </c>
      <c r="S10" t="str">
        <f>IFERROR(INDEX(Magánszemély!S:S,MATCH(Táblázat4[[#This Row],[IKTATÓ]],Magánszemély!U:U,0)),IFERROR(INDEX('Jogi személy'!T:T,MATCH(Táblázat4[[#This Row],[IKTATÓ]],'Jogi személy'!V:V,0)),""))</f>
        <v/>
      </c>
      <c r="T10" t="str">
        <f>IFERROR(INDEX(Magánszemély!T:T,MATCH(Táblázat4[[#This Row],[IKTATÓ]],Magánszemély!U:U,0)),IFERROR(INDEX('Jogi személy'!U:U,MATCH(Táblázat4[[#This Row],[IKTATÓ]],'Jogi személy'!V:V,0)),""))</f>
        <v/>
      </c>
      <c r="U10" s="35"/>
      <c r="V10" t="str">
        <f>IFERROR(INDEX(Magánszemély!V:V,MATCH(Táblázat4[[#This Row],[IKTATÓ]],Magánszemély!U:U,0)),IFERROR(INDEX('Jogi személy'!W:W,MATCH(Táblázat4[[#This Row],[IKTATÓ]],'Jogi személy'!V:V,0)),""))</f>
        <v/>
      </c>
      <c r="W10" t="str">
        <f>IFERROR(INDEX(Magánszemély!W:W,MATCH(Táblázat4[[#This Row],[IKTATÓ]],Magánszemély!U:U,0)),IFERROR(INDEX('Jogi személy'!X:X,MATCH(Táblázat4[[#This Row],[IKTATÓ]],'Jogi személy'!V:V,0)),""))</f>
        <v/>
      </c>
      <c r="X10" t="str">
        <f>IFERROR(INDEX(Magánszemély!X:X,MATCH(Táblázat4[[#This Row],[IKTATÓ]],Magánszemély!U:U,0)),IFERROR(INDEX('Jogi személy'!Y:Y,MATCH(Táblázat4[[#This Row],[IKTATÓ]],'Jogi személy'!V:V,0)),""))</f>
        <v/>
      </c>
      <c r="Y10" t="str">
        <f>IFERROR(INDEX(Magánszemély!Y:Y,MATCH(Táblázat4[[#This Row],[IKTATÓ]],Magánszemély!U:U,0)),IFERROR(INDEX('Jogi személy'!Z:Z,MATCH(Táblázat4[[#This Row],[IKTATÓ]],'Jogi személy'!V:V,0)),""))</f>
        <v/>
      </c>
      <c r="Z10" t="str">
        <f>IFERROR(INDEX(Magánszemély!Z:Z,MATCH(Táblázat4[[#This Row],[IKTATÓ]],Magánszemély!U:U,0)),IFERROR(INDEX('Jogi személy'!AA:AA,MATCH(Táblázat4[[#This Row],[IKTATÓ]],'Jogi személy'!V:V,0)),""))</f>
        <v/>
      </c>
      <c r="AA10" t="str">
        <f>IFERROR(INDEX(Magánszemély!AA:AA,MATCH(Táblázat4[[#This Row],[IKTATÓ]],Magánszemély!U:U,0)),IFERROR(INDEX('Jogi személy'!AB:AB,MATCH(Táblázat4[[#This Row],[IKTATÓ]],'Jogi személy'!V:V,0)),""))</f>
        <v/>
      </c>
      <c r="AB10" t="str">
        <f>IFERROR(INDEX(Magánszemély!AB:AB,MATCH(Táblázat4[[#This Row],[IKTATÓ]],Magánszemély!U:U,0)),IFERROR(INDEX('Jogi személy'!AC:AC,MATCH(Táblázat4[[#This Row],[IKTATÓ]],'Jogi személy'!V:V,0)),""))</f>
        <v/>
      </c>
      <c r="AC10" t="str">
        <f>IFERROR(INDEX(Magánszemély!AC:AC,MATCH(Táblázat4[[#This Row],[IKTATÓ]],Magánszemély!U:U,0)),IFERROR(INDEX('Jogi személy'!AD:AD,MATCH(Táblázat4[[#This Row],[IKTATÓ]],'Jogi személy'!V:V,0)),""))</f>
        <v/>
      </c>
      <c r="AD10" t="str">
        <f>IFERROR(INDEX('Jogi személy'!I:I,MATCH(Táblázat4[[#This Row],[IKTATÓ]],'Jogi személy'!V:V,0)),"")</f>
        <v/>
      </c>
      <c r="AE10" t="str">
        <f>IFERROR(INDEX('Jogi személy'!J:J,MATCH(Táblázat4[[#This Row],[IKTATÓ]],'Jogi személy'!V:V,0)),"")</f>
        <v/>
      </c>
      <c r="AF10" t="str">
        <f>IFERROR(INDEX('Jogi személy'!K:K,MATCH(Táblázat4[[#This Row],[IKTATÓ]],'Jogi személy'!V:V,0)),"")</f>
        <v/>
      </c>
      <c r="AG10" t="str">
        <f>IFERROR(INDEX('Jogi személy'!L:L,MATCH(Táblázat4[[#This Row],[IKTATÓ]],'Jogi személy'!V:V,0)),"")</f>
        <v/>
      </c>
    </row>
    <row r="11" spans="1:34" x14ac:dyDescent="0.25">
      <c r="A11" t="str">
        <f>IFERROR(INDEX(Magánszemély!A:A,MATCH(Táblázat4[[#This Row],[IKTATÓ]],Magánszemély!U:U,0)),IFERROR(INDEX('Jogi személy'!A:A,MATCH(Táblázat4[[#This Row],[IKTATÓ]],'Jogi személy'!V:V,0)),""))</f>
        <v/>
      </c>
      <c r="B11" t="str">
        <f>IFERROR(INDEX(Magánszemély!B:B,MATCH(Táblázat4[[#This Row],[IKTATÓ]],Magánszemély!U:U,0)),IFERROR(INDEX('Jogi személy'!B:B,MATCH(Táblázat4[[#This Row],[IKTATÓ]],'Jogi személy'!V:V,0)),""))</f>
        <v/>
      </c>
      <c r="C11" t="str">
        <f>IFERROR(INDEX(Magánszemély!C:C,MATCH(Táblázat4[[#This Row],[IKTATÓ]],Magánszemély!U:U,0)),IFERROR(INDEX('Jogi személy'!C:C,MATCH(Táblázat4[[#This Row],[IKTATÓ]],'Jogi személy'!V:V,0)),""))</f>
        <v/>
      </c>
      <c r="D11" t="str">
        <f>IFERROR(INDEX(Magánszemély!D:D,MATCH(Táblázat4[[#This Row],[IKTATÓ]],Magánszemély!U:U,0)),IFERROR(INDEX('Jogi személy'!D:D,MATCH(Táblázat4[[#This Row],[IKTATÓ]],'Jogi személy'!V:V,0)),""))</f>
        <v/>
      </c>
      <c r="E11" t="str">
        <f>IFERROR(INDEX(Magánszemély!E:E,MATCH(Táblázat4[[#This Row],[IKTATÓ]],Magánszemély!U:U,0)),IFERROR(INDEX('Jogi személy'!E:E,MATCH(Táblázat4[[#This Row],[IKTATÓ]],'Jogi személy'!V:V,0)),""))</f>
        <v/>
      </c>
      <c r="F11" t="str">
        <f>IFERROR(INDEX(Magánszemély!F:F,MATCH(Táblázat4[[#This Row],[IKTATÓ]],Magánszemély!U:U,0)),IFERROR(INDEX('Jogi személy'!F:F,MATCH(Táblázat4[[#This Row],[IKTATÓ]],'Jogi személy'!V:V,0)),""))</f>
        <v/>
      </c>
      <c r="G11" t="str">
        <f>IFERROR(INDEX(Magánszemély!G:G,MATCH(Táblázat4[[#This Row],[IKTATÓ]],Magánszemély!U:U,0)),IFERROR(INDEX('Jogi személy'!G:G,MATCH(Táblázat4[[#This Row],[IKTATÓ]],'Jogi személy'!V:V,0)),""))</f>
        <v/>
      </c>
      <c r="H11" t="str">
        <f>IFERROR(INDEX(Magánszemély!H:H,MATCH(Táblázat4[[#This Row],[IKTATÓ]],Magánszemély!U:U,0)),IFERROR(INDEX('Jogi személy'!H:H,MATCH(Táblázat4[[#This Row],[IKTATÓ]],'Jogi személy'!V:V,0)),""))</f>
        <v/>
      </c>
      <c r="I11" t="str">
        <f>IFERROR(INDEX(Magánszemély!I:I,MATCH(Táblázat4[[#This Row],[IKTATÓ]],Magánszemély!U:U,0)),"")</f>
        <v/>
      </c>
      <c r="J11" t="str">
        <f>IFERROR(INDEX(Magánszemély!J:J,MATCH(Táblázat4[[#This Row],[IKTATÓ]],Magánszemély!U:U,0)),"")</f>
        <v/>
      </c>
      <c r="K11" t="str">
        <f>IFERROR(INDEX(Magánszemély!K:K,MATCH(Táblázat4[[#This Row],[IKTATÓ]],Magánszemély!U:U,0)),"")</f>
        <v/>
      </c>
      <c r="L11" t="str">
        <f>IFERROR(INDEX(Magánszemély!L:L,MATCH(Táblázat4[[#This Row],[IKTATÓ]],Magánszemély!U:U,0)),IFERROR(INDEX('Jogi személy'!M:M,MATCH(Táblázat4[[#This Row],[IKTATÓ]],'Jogi személy'!V:V,0)),""))</f>
        <v/>
      </c>
      <c r="M11" t="str">
        <f>IFERROR(INDEX(Magánszemély!M:M,MATCH(Táblázat4[[#This Row],[IKTATÓ]],Magánszemély!U:U,0)),IFERROR(INDEX('Jogi személy'!N:N,MATCH(Táblázat4[[#This Row],[IKTATÓ]],'Jogi személy'!V:V,0)),""))</f>
        <v/>
      </c>
      <c r="N11" t="str">
        <f>IFERROR(INDEX(Magánszemély!N:N,MATCH(Táblázat4[[#This Row],[IKTATÓ]],Magánszemély!U:U,0)),IFERROR(INDEX('Jogi személy'!O:O,MATCH(Táblázat4[[#This Row],[IKTATÓ]],'Jogi személy'!V:V,0)),""))</f>
        <v/>
      </c>
      <c r="O11" t="str">
        <f>IFERROR(INDEX(Magánszemély!O:O,MATCH(Táblázat4[[#This Row],[IKTATÓ]],Magánszemély!U:U,0)),IFERROR(INDEX('Jogi személy'!P:P,MATCH(Táblázat4[[#This Row],[IKTATÓ]],'Jogi személy'!V:V,0)),""))</f>
        <v/>
      </c>
      <c r="P11" t="str">
        <f>IFERROR(INDEX(Magánszemély!P:P,MATCH(Táblázat4[[#This Row],[IKTATÓ]],Magánszemély!U:U,0)),IFERROR(INDEX('Jogi személy'!Q:Q,MATCH(Táblázat4[[#This Row],[IKTATÓ]],'Jogi személy'!V:V,0)),""))</f>
        <v/>
      </c>
      <c r="Q11" t="str">
        <f>IFERROR(INDEX(Magánszemély!Q:Q,MATCH(Táblázat4[[#This Row],[IKTATÓ]],Magánszemély!U:U,0)),IFERROR(INDEX('Jogi személy'!R:R,MATCH(Táblázat4[[#This Row],[IKTATÓ]],'Jogi személy'!V:V,0)),""))</f>
        <v/>
      </c>
      <c r="R11" t="str">
        <f>IFERROR(INDEX(Magánszemély!R:R,MATCH(Táblázat4[[#This Row],[IKTATÓ]],Magánszemély!U:U,0)),IFERROR(INDEX('Jogi személy'!S:S,MATCH(Táblázat4[[#This Row],[IKTATÓ]],'Jogi személy'!V:V,0)),""))</f>
        <v/>
      </c>
      <c r="S11" t="str">
        <f>IFERROR(INDEX(Magánszemély!S:S,MATCH(Táblázat4[[#This Row],[IKTATÓ]],Magánszemély!U:U,0)),IFERROR(INDEX('Jogi személy'!T:T,MATCH(Táblázat4[[#This Row],[IKTATÓ]],'Jogi személy'!V:V,0)),""))</f>
        <v/>
      </c>
      <c r="T11" t="str">
        <f>IFERROR(INDEX(Magánszemély!T:T,MATCH(Táblázat4[[#This Row],[IKTATÓ]],Magánszemély!U:U,0)),IFERROR(INDEX('Jogi személy'!U:U,MATCH(Táblázat4[[#This Row],[IKTATÓ]],'Jogi személy'!V:V,0)),""))</f>
        <v/>
      </c>
      <c r="U11" s="35"/>
      <c r="V11" t="str">
        <f>IFERROR(INDEX(Magánszemély!V:V,MATCH(Táblázat4[[#This Row],[IKTATÓ]],Magánszemély!U:U,0)),IFERROR(INDEX('Jogi személy'!W:W,MATCH(Táblázat4[[#This Row],[IKTATÓ]],'Jogi személy'!V:V,0)),""))</f>
        <v/>
      </c>
      <c r="W11" t="str">
        <f>IFERROR(INDEX(Magánszemély!W:W,MATCH(Táblázat4[[#This Row],[IKTATÓ]],Magánszemély!U:U,0)),IFERROR(INDEX('Jogi személy'!X:X,MATCH(Táblázat4[[#This Row],[IKTATÓ]],'Jogi személy'!V:V,0)),""))</f>
        <v/>
      </c>
      <c r="X11" t="str">
        <f>IFERROR(INDEX(Magánszemély!X:X,MATCH(Táblázat4[[#This Row],[IKTATÓ]],Magánszemély!U:U,0)),IFERROR(INDEX('Jogi személy'!Y:Y,MATCH(Táblázat4[[#This Row],[IKTATÓ]],'Jogi személy'!V:V,0)),""))</f>
        <v/>
      </c>
      <c r="Y11" t="str">
        <f>IFERROR(INDEX(Magánszemély!Y:Y,MATCH(Táblázat4[[#This Row],[IKTATÓ]],Magánszemély!U:U,0)),IFERROR(INDEX('Jogi személy'!Z:Z,MATCH(Táblázat4[[#This Row],[IKTATÓ]],'Jogi személy'!V:V,0)),""))</f>
        <v/>
      </c>
      <c r="Z11" t="str">
        <f>IFERROR(INDEX(Magánszemély!Z:Z,MATCH(Táblázat4[[#This Row],[IKTATÓ]],Magánszemély!U:U,0)),IFERROR(INDEX('Jogi személy'!AA:AA,MATCH(Táblázat4[[#This Row],[IKTATÓ]],'Jogi személy'!V:V,0)),""))</f>
        <v/>
      </c>
      <c r="AA11" t="str">
        <f>IFERROR(INDEX(Magánszemély!AA:AA,MATCH(Táblázat4[[#This Row],[IKTATÓ]],Magánszemély!U:U,0)),IFERROR(INDEX('Jogi személy'!AB:AB,MATCH(Táblázat4[[#This Row],[IKTATÓ]],'Jogi személy'!V:V,0)),""))</f>
        <v/>
      </c>
      <c r="AB11" t="str">
        <f>IFERROR(INDEX(Magánszemély!AB:AB,MATCH(Táblázat4[[#This Row],[IKTATÓ]],Magánszemély!U:U,0)),IFERROR(INDEX('Jogi személy'!AC:AC,MATCH(Táblázat4[[#This Row],[IKTATÓ]],'Jogi személy'!V:V,0)),""))</f>
        <v/>
      </c>
      <c r="AC11" t="str">
        <f>IFERROR(INDEX(Magánszemély!AC:AC,MATCH(Táblázat4[[#This Row],[IKTATÓ]],Magánszemély!U:U,0)),IFERROR(INDEX('Jogi személy'!AD:AD,MATCH(Táblázat4[[#This Row],[IKTATÓ]],'Jogi személy'!V:V,0)),""))</f>
        <v/>
      </c>
      <c r="AD11" t="str">
        <f>IFERROR(INDEX('Jogi személy'!I:I,MATCH(Táblázat4[[#This Row],[IKTATÓ]],'Jogi személy'!V:V,0)),"")</f>
        <v/>
      </c>
      <c r="AE11" t="str">
        <f>IFERROR(INDEX('Jogi személy'!J:J,MATCH(Táblázat4[[#This Row],[IKTATÓ]],'Jogi személy'!V:V,0)),"")</f>
        <v/>
      </c>
      <c r="AF11" t="str">
        <f>IFERROR(INDEX('Jogi személy'!K:K,MATCH(Táblázat4[[#This Row],[IKTATÓ]],'Jogi személy'!V:V,0)),"")</f>
        <v/>
      </c>
      <c r="AG11" t="str">
        <f>IFERROR(INDEX('Jogi személy'!L:L,MATCH(Táblázat4[[#This Row],[IKTATÓ]],'Jogi személy'!V:V,0)),"")</f>
        <v/>
      </c>
    </row>
    <row r="12" spans="1:34" x14ac:dyDescent="0.25">
      <c r="A12" t="str">
        <f>IFERROR(INDEX(Magánszemély!A:A,MATCH(Táblázat4[[#This Row],[IKTATÓ]],Magánszemély!U:U,0)),IFERROR(INDEX('Jogi személy'!A:A,MATCH(Táblázat4[[#This Row],[IKTATÓ]],'Jogi személy'!V:V,0)),""))</f>
        <v/>
      </c>
      <c r="B12" t="str">
        <f>IFERROR(INDEX(Magánszemély!B:B,MATCH(Táblázat4[[#This Row],[IKTATÓ]],Magánszemély!U:U,0)),IFERROR(INDEX('Jogi személy'!B:B,MATCH(Táblázat4[[#This Row],[IKTATÓ]],'Jogi személy'!V:V,0)),""))</f>
        <v/>
      </c>
      <c r="C12" t="str">
        <f>IFERROR(INDEX(Magánszemély!C:C,MATCH(Táblázat4[[#This Row],[IKTATÓ]],Magánszemély!U:U,0)),IFERROR(INDEX('Jogi személy'!C:C,MATCH(Táblázat4[[#This Row],[IKTATÓ]],'Jogi személy'!V:V,0)),""))</f>
        <v/>
      </c>
      <c r="D12" t="str">
        <f>IFERROR(INDEX(Magánszemély!D:D,MATCH(Táblázat4[[#This Row],[IKTATÓ]],Magánszemély!U:U,0)),IFERROR(INDEX('Jogi személy'!D:D,MATCH(Táblázat4[[#This Row],[IKTATÓ]],'Jogi személy'!V:V,0)),""))</f>
        <v/>
      </c>
      <c r="E12" t="str">
        <f>IFERROR(INDEX(Magánszemély!E:E,MATCH(Táblázat4[[#This Row],[IKTATÓ]],Magánszemély!U:U,0)),IFERROR(INDEX('Jogi személy'!E:E,MATCH(Táblázat4[[#This Row],[IKTATÓ]],'Jogi személy'!V:V,0)),""))</f>
        <v/>
      </c>
      <c r="F12" t="str">
        <f>IFERROR(INDEX(Magánszemély!F:F,MATCH(Táblázat4[[#This Row],[IKTATÓ]],Magánszemély!U:U,0)),IFERROR(INDEX('Jogi személy'!F:F,MATCH(Táblázat4[[#This Row],[IKTATÓ]],'Jogi személy'!V:V,0)),""))</f>
        <v/>
      </c>
      <c r="G12" t="str">
        <f>IFERROR(INDEX(Magánszemély!G:G,MATCH(Táblázat4[[#This Row],[IKTATÓ]],Magánszemély!U:U,0)),IFERROR(INDEX('Jogi személy'!G:G,MATCH(Táblázat4[[#This Row],[IKTATÓ]],'Jogi személy'!V:V,0)),""))</f>
        <v/>
      </c>
      <c r="H12" t="str">
        <f>IFERROR(INDEX(Magánszemély!H:H,MATCH(Táblázat4[[#This Row],[IKTATÓ]],Magánszemély!U:U,0)),IFERROR(INDEX('Jogi személy'!H:H,MATCH(Táblázat4[[#This Row],[IKTATÓ]],'Jogi személy'!V:V,0)),""))</f>
        <v/>
      </c>
      <c r="I12" t="str">
        <f>IFERROR(INDEX(Magánszemély!I:I,MATCH(Táblázat4[[#This Row],[IKTATÓ]],Magánszemély!U:U,0)),"")</f>
        <v/>
      </c>
      <c r="J12" t="str">
        <f>IFERROR(INDEX(Magánszemély!J:J,MATCH(Táblázat4[[#This Row],[IKTATÓ]],Magánszemély!U:U,0)),"")</f>
        <v/>
      </c>
      <c r="K12" t="str">
        <f>IFERROR(INDEX(Magánszemély!K:K,MATCH(Táblázat4[[#This Row],[IKTATÓ]],Magánszemély!U:U,0)),"")</f>
        <v/>
      </c>
      <c r="L12" t="str">
        <f>IFERROR(INDEX(Magánszemély!L:L,MATCH(Táblázat4[[#This Row],[IKTATÓ]],Magánszemély!U:U,0)),IFERROR(INDEX('Jogi személy'!M:M,MATCH(Táblázat4[[#This Row],[IKTATÓ]],'Jogi személy'!V:V,0)),""))</f>
        <v/>
      </c>
      <c r="M12" t="str">
        <f>IFERROR(INDEX(Magánszemély!M:M,MATCH(Táblázat4[[#This Row],[IKTATÓ]],Magánszemély!U:U,0)),IFERROR(INDEX('Jogi személy'!N:N,MATCH(Táblázat4[[#This Row],[IKTATÓ]],'Jogi személy'!V:V,0)),""))</f>
        <v/>
      </c>
      <c r="N12" t="str">
        <f>IFERROR(INDEX(Magánszemély!N:N,MATCH(Táblázat4[[#This Row],[IKTATÓ]],Magánszemély!U:U,0)),IFERROR(INDEX('Jogi személy'!O:O,MATCH(Táblázat4[[#This Row],[IKTATÓ]],'Jogi személy'!V:V,0)),""))</f>
        <v/>
      </c>
      <c r="O12" t="str">
        <f>IFERROR(INDEX(Magánszemély!O:O,MATCH(Táblázat4[[#This Row],[IKTATÓ]],Magánszemély!U:U,0)),IFERROR(INDEX('Jogi személy'!P:P,MATCH(Táblázat4[[#This Row],[IKTATÓ]],'Jogi személy'!V:V,0)),""))</f>
        <v/>
      </c>
      <c r="P12" t="str">
        <f>IFERROR(INDEX(Magánszemély!P:P,MATCH(Táblázat4[[#This Row],[IKTATÓ]],Magánszemély!U:U,0)),IFERROR(INDEX('Jogi személy'!Q:Q,MATCH(Táblázat4[[#This Row],[IKTATÓ]],'Jogi személy'!V:V,0)),""))</f>
        <v/>
      </c>
      <c r="Q12" t="str">
        <f>IFERROR(INDEX(Magánszemély!Q:Q,MATCH(Táblázat4[[#This Row],[IKTATÓ]],Magánszemély!U:U,0)),IFERROR(INDEX('Jogi személy'!R:R,MATCH(Táblázat4[[#This Row],[IKTATÓ]],'Jogi személy'!V:V,0)),""))</f>
        <v/>
      </c>
      <c r="R12" t="str">
        <f>IFERROR(INDEX(Magánszemély!R:R,MATCH(Táblázat4[[#This Row],[IKTATÓ]],Magánszemély!U:U,0)),IFERROR(INDEX('Jogi személy'!S:S,MATCH(Táblázat4[[#This Row],[IKTATÓ]],'Jogi személy'!V:V,0)),""))</f>
        <v/>
      </c>
      <c r="S12" t="str">
        <f>IFERROR(INDEX(Magánszemély!S:S,MATCH(Táblázat4[[#This Row],[IKTATÓ]],Magánszemély!U:U,0)),IFERROR(INDEX('Jogi személy'!T:T,MATCH(Táblázat4[[#This Row],[IKTATÓ]],'Jogi személy'!V:V,0)),""))</f>
        <v/>
      </c>
      <c r="T12" t="str">
        <f>IFERROR(INDEX(Magánszemély!T:T,MATCH(Táblázat4[[#This Row],[IKTATÓ]],Magánszemély!U:U,0)),IFERROR(INDEX('Jogi személy'!U:U,MATCH(Táblázat4[[#This Row],[IKTATÓ]],'Jogi személy'!V:V,0)),""))</f>
        <v/>
      </c>
      <c r="U12" s="35"/>
      <c r="V12" t="str">
        <f>IFERROR(INDEX(Magánszemély!V:V,MATCH(Táblázat4[[#This Row],[IKTATÓ]],Magánszemély!U:U,0)),IFERROR(INDEX('Jogi személy'!W:W,MATCH(Táblázat4[[#This Row],[IKTATÓ]],'Jogi személy'!V:V,0)),""))</f>
        <v/>
      </c>
      <c r="W12" t="str">
        <f>IFERROR(INDEX(Magánszemély!W:W,MATCH(Táblázat4[[#This Row],[IKTATÓ]],Magánszemély!U:U,0)),IFERROR(INDEX('Jogi személy'!X:X,MATCH(Táblázat4[[#This Row],[IKTATÓ]],'Jogi személy'!V:V,0)),""))</f>
        <v/>
      </c>
      <c r="X12" t="str">
        <f>IFERROR(INDEX(Magánszemély!X:X,MATCH(Táblázat4[[#This Row],[IKTATÓ]],Magánszemély!U:U,0)),IFERROR(INDEX('Jogi személy'!Y:Y,MATCH(Táblázat4[[#This Row],[IKTATÓ]],'Jogi személy'!V:V,0)),""))</f>
        <v/>
      </c>
      <c r="Y12" t="str">
        <f>IFERROR(INDEX(Magánszemély!Y:Y,MATCH(Táblázat4[[#This Row],[IKTATÓ]],Magánszemély!U:U,0)),IFERROR(INDEX('Jogi személy'!Z:Z,MATCH(Táblázat4[[#This Row],[IKTATÓ]],'Jogi személy'!V:V,0)),""))</f>
        <v/>
      </c>
      <c r="Z12" t="str">
        <f>IFERROR(INDEX(Magánszemély!Z:Z,MATCH(Táblázat4[[#This Row],[IKTATÓ]],Magánszemély!U:U,0)),IFERROR(INDEX('Jogi személy'!AA:AA,MATCH(Táblázat4[[#This Row],[IKTATÓ]],'Jogi személy'!V:V,0)),""))</f>
        <v/>
      </c>
      <c r="AA12" t="str">
        <f>IFERROR(INDEX(Magánszemély!AA:AA,MATCH(Táblázat4[[#This Row],[IKTATÓ]],Magánszemély!U:U,0)),IFERROR(INDEX('Jogi személy'!AB:AB,MATCH(Táblázat4[[#This Row],[IKTATÓ]],'Jogi személy'!V:V,0)),""))</f>
        <v/>
      </c>
      <c r="AB12" t="str">
        <f>IFERROR(INDEX(Magánszemély!AB:AB,MATCH(Táblázat4[[#This Row],[IKTATÓ]],Magánszemély!U:U,0)),IFERROR(INDEX('Jogi személy'!AC:AC,MATCH(Táblázat4[[#This Row],[IKTATÓ]],'Jogi személy'!V:V,0)),""))</f>
        <v/>
      </c>
      <c r="AC12" t="str">
        <f>IFERROR(INDEX(Magánszemély!AC:AC,MATCH(Táblázat4[[#This Row],[IKTATÓ]],Magánszemély!U:U,0)),IFERROR(INDEX('Jogi személy'!AD:AD,MATCH(Táblázat4[[#This Row],[IKTATÓ]],'Jogi személy'!V:V,0)),""))</f>
        <v/>
      </c>
      <c r="AD12" t="str">
        <f>IFERROR(INDEX('Jogi személy'!I:I,MATCH(Táblázat4[[#This Row],[IKTATÓ]],'Jogi személy'!V:V,0)),"")</f>
        <v/>
      </c>
      <c r="AE12" t="str">
        <f>IFERROR(INDEX('Jogi személy'!J:J,MATCH(Táblázat4[[#This Row],[IKTATÓ]],'Jogi személy'!V:V,0)),"")</f>
        <v/>
      </c>
      <c r="AF12" t="str">
        <f>IFERROR(INDEX('Jogi személy'!K:K,MATCH(Táblázat4[[#This Row],[IKTATÓ]],'Jogi személy'!V:V,0)),"")</f>
        <v/>
      </c>
      <c r="AG12" t="str">
        <f>IFERROR(INDEX('Jogi személy'!L:L,MATCH(Táblázat4[[#This Row],[IKTATÓ]],'Jogi személy'!V:V,0)),"")</f>
        <v/>
      </c>
    </row>
    <row r="13" spans="1:34" x14ac:dyDescent="0.25">
      <c r="A13" t="str">
        <f>IFERROR(INDEX(Magánszemély!A:A,MATCH(Táblázat4[[#This Row],[IKTATÓ]],Magánszemély!U:U,0)),IFERROR(INDEX('Jogi személy'!A:A,MATCH(Táblázat4[[#This Row],[IKTATÓ]],'Jogi személy'!V:V,0)),""))</f>
        <v/>
      </c>
      <c r="B13" t="str">
        <f>IFERROR(INDEX(Magánszemély!B:B,MATCH(Táblázat4[[#This Row],[IKTATÓ]],Magánszemély!U:U,0)),IFERROR(INDEX('Jogi személy'!B:B,MATCH(Táblázat4[[#This Row],[IKTATÓ]],'Jogi személy'!V:V,0)),""))</f>
        <v/>
      </c>
      <c r="C13" t="str">
        <f>IFERROR(INDEX(Magánszemély!C:C,MATCH(Táblázat4[[#This Row],[IKTATÓ]],Magánszemély!U:U,0)),IFERROR(INDEX('Jogi személy'!C:C,MATCH(Táblázat4[[#This Row],[IKTATÓ]],'Jogi személy'!V:V,0)),""))</f>
        <v/>
      </c>
      <c r="D13" t="str">
        <f>IFERROR(INDEX(Magánszemély!D:D,MATCH(Táblázat4[[#This Row],[IKTATÓ]],Magánszemély!U:U,0)),IFERROR(INDEX('Jogi személy'!D:D,MATCH(Táblázat4[[#This Row],[IKTATÓ]],'Jogi személy'!V:V,0)),""))</f>
        <v/>
      </c>
      <c r="E13" t="str">
        <f>IFERROR(INDEX(Magánszemély!E:E,MATCH(Táblázat4[[#This Row],[IKTATÓ]],Magánszemély!U:U,0)),IFERROR(INDEX('Jogi személy'!E:E,MATCH(Táblázat4[[#This Row],[IKTATÓ]],'Jogi személy'!V:V,0)),""))</f>
        <v/>
      </c>
      <c r="F13" t="str">
        <f>IFERROR(INDEX(Magánszemély!F:F,MATCH(Táblázat4[[#This Row],[IKTATÓ]],Magánszemély!U:U,0)),IFERROR(INDEX('Jogi személy'!F:F,MATCH(Táblázat4[[#This Row],[IKTATÓ]],'Jogi személy'!V:V,0)),""))</f>
        <v/>
      </c>
      <c r="G13" t="str">
        <f>IFERROR(INDEX(Magánszemély!G:G,MATCH(Táblázat4[[#This Row],[IKTATÓ]],Magánszemély!U:U,0)),IFERROR(INDEX('Jogi személy'!G:G,MATCH(Táblázat4[[#This Row],[IKTATÓ]],'Jogi személy'!V:V,0)),""))</f>
        <v/>
      </c>
      <c r="H13" t="str">
        <f>IFERROR(INDEX(Magánszemély!H:H,MATCH(Táblázat4[[#This Row],[IKTATÓ]],Magánszemély!U:U,0)),IFERROR(INDEX('Jogi személy'!H:H,MATCH(Táblázat4[[#This Row],[IKTATÓ]],'Jogi személy'!V:V,0)),""))</f>
        <v/>
      </c>
      <c r="I13" t="str">
        <f>IFERROR(INDEX(Magánszemély!I:I,MATCH(Táblázat4[[#This Row],[IKTATÓ]],Magánszemély!U:U,0)),"")</f>
        <v/>
      </c>
      <c r="J13" t="str">
        <f>IFERROR(INDEX(Magánszemély!J:J,MATCH(Táblázat4[[#This Row],[IKTATÓ]],Magánszemély!U:U,0)),"")</f>
        <v/>
      </c>
      <c r="K13" t="str">
        <f>IFERROR(INDEX(Magánszemély!K:K,MATCH(Táblázat4[[#This Row],[IKTATÓ]],Magánszemély!U:U,0)),"")</f>
        <v/>
      </c>
      <c r="L13" t="str">
        <f>IFERROR(INDEX(Magánszemély!L:L,MATCH(Táblázat4[[#This Row],[IKTATÓ]],Magánszemély!U:U,0)),IFERROR(INDEX('Jogi személy'!M:M,MATCH(Táblázat4[[#This Row],[IKTATÓ]],'Jogi személy'!V:V,0)),""))</f>
        <v/>
      </c>
      <c r="M13" t="str">
        <f>IFERROR(INDEX(Magánszemély!M:M,MATCH(Táblázat4[[#This Row],[IKTATÓ]],Magánszemély!U:U,0)),IFERROR(INDEX('Jogi személy'!N:N,MATCH(Táblázat4[[#This Row],[IKTATÓ]],'Jogi személy'!V:V,0)),""))</f>
        <v/>
      </c>
      <c r="N13" t="str">
        <f>IFERROR(INDEX(Magánszemély!N:N,MATCH(Táblázat4[[#This Row],[IKTATÓ]],Magánszemély!U:U,0)),IFERROR(INDEX('Jogi személy'!O:O,MATCH(Táblázat4[[#This Row],[IKTATÓ]],'Jogi személy'!V:V,0)),""))</f>
        <v/>
      </c>
      <c r="O13" t="str">
        <f>IFERROR(INDEX(Magánszemély!O:O,MATCH(Táblázat4[[#This Row],[IKTATÓ]],Magánszemély!U:U,0)),IFERROR(INDEX('Jogi személy'!P:P,MATCH(Táblázat4[[#This Row],[IKTATÓ]],'Jogi személy'!V:V,0)),""))</f>
        <v/>
      </c>
      <c r="P13" t="str">
        <f>IFERROR(INDEX(Magánszemély!P:P,MATCH(Táblázat4[[#This Row],[IKTATÓ]],Magánszemély!U:U,0)),IFERROR(INDEX('Jogi személy'!Q:Q,MATCH(Táblázat4[[#This Row],[IKTATÓ]],'Jogi személy'!V:V,0)),""))</f>
        <v/>
      </c>
      <c r="Q13" t="str">
        <f>IFERROR(INDEX(Magánszemély!Q:Q,MATCH(Táblázat4[[#This Row],[IKTATÓ]],Magánszemély!U:U,0)),IFERROR(INDEX('Jogi személy'!R:R,MATCH(Táblázat4[[#This Row],[IKTATÓ]],'Jogi személy'!V:V,0)),""))</f>
        <v/>
      </c>
      <c r="R13" t="str">
        <f>IFERROR(INDEX(Magánszemély!R:R,MATCH(Táblázat4[[#This Row],[IKTATÓ]],Magánszemély!U:U,0)),IFERROR(INDEX('Jogi személy'!S:S,MATCH(Táblázat4[[#This Row],[IKTATÓ]],'Jogi személy'!V:V,0)),""))</f>
        <v/>
      </c>
      <c r="S13" t="str">
        <f>IFERROR(INDEX(Magánszemély!S:S,MATCH(Táblázat4[[#This Row],[IKTATÓ]],Magánszemély!U:U,0)),IFERROR(INDEX('Jogi személy'!T:T,MATCH(Táblázat4[[#This Row],[IKTATÓ]],'Jogi személy'!V:V,0)),""))</f>
        <v/>
      </c>
      <c r="T13" t="str">
        <f>IFERROR(INDEX(Magánszemély!T:T,MATCH(Táblázat4[[#This Row],[IKTATÓ]],Magánszemély!U:U,0)),IFERROR(INDEX('Jogi személy'!U:U,MATCH(Táblázat4[[#This Row],[IKTATÓ]],'Jogi személy'!V:V,0)),""))</f>
        <v/>
      </c>
      <c r="U13" s="35"/>
      <c r="V13" t="str">
        <f>IFERROR(INDEX(Magánszemély!V:V,MATCH(Táblázat4[[#This Row],[IKTATÓ]],Magánszemély!U:U,0)),IFERROR(INDEX('Jogi személy'!W:W,MATCH(Táblázat4[[#This Row],[IKTATÓ]],'Jogi személy'!V:V,0)),""))</f>
        <v/>
      </c>
      <c r="W13" t="str">
        <f>IFERROR(INDEX(Magánszemély!W:W,MATCH(Táblázat4[[#This Row],[IKTATÓ]],Magánszemély!U:U,0)),IFERROR(INDEX('Jogi személy'!X:X,MATCH(Táblázat4[[#This Row],[IKTATÓ]],'Jogi személy'!V:V,0)),""))</f>
        <v/>
      </c>
      <c r="X13" t="str">
        <f>IFERROR(INDEX(Magánszemély!X:X,MATCH(Táblázat4[[#This Row],[IKTATÓ]],Magánszemély!U:U,0)),IFERROR(INDEX('Jogi személy'!Y:Y,MATCH(Táblázat4[[#This Row],[IKTATÓ]],'Jogi személy'!V:V,0)),""))</f>
        <v/>
      </c>
      <c r="Y13" t="str">
        <f>IFERROR(INDEX(Magánszemély!Y:Y,MATCH(Táblázat4[[#This Row],[IKTATÓ]],Magánszemély!U:U,0)),IFERROR(INDEX('Jogi személy'!Z:Z,MATCH(Táblázat4[[#This Row],[IKTATÓ]],'Jogi személy'!V:V,0)),""))</f>
        <v/>
      </c>
      <c r="Z13" t="str">
        <f>IFERROR(INDEX(Magánszemély!Z:Z,MATCH(Táblázat4[[#This Row],[IKTATÓ]],Magánszemély!U:U,0)),IFERROR(INDEX('Jogi személy'!AA:AA,MATCH(Táblázat4[[#This Row],[IKTATÓ]],'Jogi személy'!V:V,0)),""))</f>
        <v/>
      </c>
      <c r="AA13" t="str">
        <f>IFERROR(INDEX(Magánszemély!AA:AA,MATCH(Táblázat4[[#This Row],[IKTATÓ]],Magánszemély!U:U,0)),IFERROR(INDEX('Jogi személy'!AB:AB,MATCH(Táblázat4[[#This Row],[IKTATÓ]],'Jogi személy'!V:V,0)),""))</f>
        <v/>
      </c>
      <c r="AB13" t="str">
        <f>IFERROR(INDEX(Magánszemély!AB:AB,MATCH(Táblázat4[[#This Row],[IKTATÓ]],Magánszemély!U:U,0)),IFERROR(INDEX('Jogi személy'!AC:AC,MATCH(Táblázat4[[#This Row],[IKTATÓ]],'Jogi személy'!V:V,0)),""))</f>
        <v/>
      </c>
      <c r="AC13" t="str">
        <f>IFERROR(INDEX(Magánszemély!AC:AC,MATCH(Táblázat4[[#This Row],[IKTATÓ]],Magánszemély!U:U,0)),IFERROR(INDEX('Jogi személy'!AD:AD,MATCH(Táblázat4[[#This Row],[IKTATÓ]],'Jogi személy'!V:V,0)),""))</f>
        <v/>
      </c>
      <c r="AD13" t="str">
        <f>IFERROR(INDEX('Jogi személy'!I:I,MATCH(Táblázat4[[#This Row],[IKTATÓ]],'Jogi személy'!V:V,0)),"")</f>
        <v/>
      </c>
      <c r="AE13" t="str">
        <f>IFERROR(INDEX('Jogi személy'!J:J,MATCH(Táblázat4[[#This Row],[IKTATÓ]],'Jogi személy'!V:V,0)),"")</f>
        <v/>
      </c>
      <c r="AF13" t="str">
        <f>IFERROR(INDEX('Jogi személy'!K:K,MATCH(Táblázat4[[#This Row],[IKTATÓ]],'Jogi személy'!V:V,0)),"")</f>
        <v/>
      </c>
      <c r="AG13" t="str">
        <f>IFERROR(INDEX('Jogi személy'!L:L,MATCH(Táblázat4[[#This Row],[IKTATÓ]],'Jogi személy'!V:V,0)),"")</f>
        <v/>
      </c>
    </row>
    <row r="14" spans="1:34" x14ac:dyDescent="0.25">
      <c r="A14" t="str">
        <f>IFERROR(INDEX(Magánszemély!A:A,MATCH(Táblázat4[[#This Row],[IKTATÓ]],Magánszemély!U:U,0)),IFERROR(INDEX('Jogi személy'!A:A,MATCH(Táblázat4[[#This Row],[IKTATÓ]],'Jogi személy'!V:V,0)),""))</f>
        <v/>
      </c>
      <c r="B14" t="str">
        <f>IFERROR(INDEX(Magánszemély!B:B,MATCH(Táblázat4[[#This Row],[IKTATÓ]],Magánszemély!U:U,0)),IFERROR(INDEX('Jogi személy'!B:B,MATCH(Táblázat4[[#This Row],[IKTATÓ]],'Jogi személy'!V:V,0)),""))</f>
        <v/>
      </c>
      <c r="C14" t="str">
        <f>IFERROR(INDEX(Magánszemély!C:C,MATCH(Táblázat4[[#This Row],[IKTATÓ]],Magánszemély!U:U,0)),IFERROR(INDEX('Jogi személy'!C:C,MATCH(Táblázat4[[#This Row],[IKTATÓ]],'Jogi személy'!V:V,0)),""))</f>
        <v/>
      </c>
      <c r="D14" t="str">
        <f>IFERROR(INDEX(Magánszemély!D:D,MATCH(Táblázat4[[#This Row],[IKTATÓ]],Magánszemély!U:U,0)),IFERROR(INDEX('Jogi személy'!D:D,MATCH(Táblázat4[[#This Row],[IKTATÓ]],'Jogi személy'!V:V,0)),""))</f>
        <v/>
      </c>
      <c r="E14" t="str">
        <f>IFERROR(INDEX(Magánszemély!E:E,MATCH(Táblázat4[[#This Row],[IKTATÓ]],Magánszemély!U:U,0)),IFERROR(INDEX('Jogi személy'!E:E,MATCH(Táblázat4[[#This Row],[IKTATÓ]],'Jogi személy'!V:V,0)),""))</f>
        <v/>
      </c>
      <c r="F14" t="str">
        <f>IFERROR(INDEX(Magánszemély!F:F,MATCH(Táblázat4[[#This Row],[IKTATÓ]],Magánszemély!U:U,0)),IFERROR(INDEX('Jogi személy'!F:F,MATCH(Táblázat4[[#This Row],[IKTATÓ]],'Jogi személy'!V:V,0)),""))</f>
        <v/>
      </c>
      <c r="G14" t="str">
        <f>IFERROR(INDEX(Magánszemély!G:G,MATCH(Táblázat4[[#This Row],[IKTATÓ]],Magánszemély!U:U,0)),IFERROR(INDEX('Jogi személy'!G:G,MATCH(Táblázat4[[#This Row],[IKTATÓ]],'Jogi személy'!V:V,0)),""))</f>
        <v/>
      </c>
      <c r="H14" t="str">
        <f>IFERROR(INDEX(Magánszemély!H:H,MATCH(Táblázat4[[#This Row],[IKTATÓ]],Magánszemély!U:U,0)),IFERROR(INDEX('Jogi személy'!H:H,MATCH(Táblázat4[[#This Row],[IKTATÓ]],'Jogi személy'!V:V,0)),""))</f>
        <v/>
      </c>
      <c r="I14" t="str">
        <f>IFERROR(INDEX(Magánszemély!I:I,MATCH(Táblázat4[[#This Row],[IKTATÓ]],Magánszemély!U:U,0)),"")</f>
        <v/>
      </c>
      <c r="J14" t="str">
        <f>IFERROR(INDEX(Magánszemély!J:J,MATCH(Táblázat4[[#This Row],[IKTATÓ]],Magánszemély!U:U,0)),"")</f>
        <v/>
      </c>
      <c r="K14" t="str">
        <f>IFERROR(INDEX(Magánszemély!K:K,MATCH(Táblázat4[[#This Row],[IKTATÓ]],Magánszemély!U:U,0)),"")</f>
        <v/>
      </c>
      <c r="L14" t="str">
        <f>IFERROR(INDEX(Magánszemély!L:L,MATCH(Táblázat4[[#This Row],[IKTATÓ]],Magánszemély!U:U,0)),IFERROR(INDEX('Jogi személy'!M:M,MATCH(Táblázat4[[#This Row],[IKTATÓ]],'Jogi személy'!V:V,0)),""))</f>
        <v/>
      </c>
      <c r="M14" t="str">
        <f>IFERROR(INDEX(Magánszemély!M:M,MATCH(Táblázat4[[#This Row],[IKTATÓ]],Magánszemély!U:U,0)),IFERROR(INDEX('Jogi személy'!N:N,MATCH(Táblázat4[[#This Row],[IKTATÓ]],'Jogi személy'!V:V,0)),""))</f>
        <v/>
      </c>
      <c r="N14" t="str">
        <f>IFERROR(INDEX(Magánszemély!N:N,MATCH(Táblázat4[[#This Row],[IKTATÓ]],Magánszemély!U:U,0)),IFERROR(INDEX('Jogi személy'!O:O,MATCH(Táblázat4[[#This Row],[IKTATÓ]],'Jogi személy'!V:V,0)),""))</f>
        <v/>
      </c>
      <c r="O14" t="str">
        <f>IFERROR(INDEX(Magánszemély!O:O,MATCH(Táblázat4[[#This Row],[IKTATÓ]],Magánszemély!U:U,0)),IFERROR(INDEX('Jogi személy'!P:P,MATCH(Táblázat4[[#This Row],[IKTATÓ]],'Jogi személy'!V:V,0)),""))</f>
        <v/>
      </c>
      <c r="P14" t="str">
        <f>IFERROR(INDEX(Magánszemély!P:P,MATCH(Táblázat4[[#This Row],[IKTATÓ]],Magánszemély!U:U,0)),IFERROR(INDEX('Jogi személy'!Q:Q,MATCH(Táblázat4[[#This Row],[IKTATÓ]],'Jogi személy'!V:V,0)),""))</f>
        <v/>
      </c>
      <c r="Q14" t="str">
        <f>IFERROR(INDEX(Magánszemély!Q:Q,MATCH(Táblázat4[[#This Row],[IKTATÓ]],Magánszemély!U:U,0)),IFERROR(INDEX('Jogi személy'!R:R,MATCH(Táblázat4[[#This Row],[IKTATÓ]],'Jogi személy'!V:V,0)),""))</f>
        <v/>
      </c>
      <c r="R14" t="str">
        <f>IFERROR(INDEX(Magánszemély!R:R,MATCH(Táblázat4[[#This Row],[IKTATÓ]],Magánszemély!U:U,0)),IFERROR(INDEX('Jogi személy'!S:S,MATCH(Táblázat4[[#This Row],[IKTATÓ]],'Jogi személy'!V:V,0)),""))</f>
        <v/>
      </c>
      <c r="S14" t="str">
        <f>IFERROR(INDEX(Magánszemély!S:S,MATCH(Táblázat4[[#This Row],[IKTATÓ]],Magánszemély!U:U,0)),IFERROR(INDEX('Jogi személy'!T:T,MATCH(Táblázat4[[#This Row],[IKTATÓ]],'Jogi személy'!V:V,0)),""))</f>
        <v/>
      </c>
      <c r="T14" t="str">
        <f>IFERROR(INDEX(Magánszemély!T:T,MATCH(Táblázat4[[#This Row],[IKTATÓ]],Magánszemély!U:U,0)),IFERROR(INDEX('Jogi személy'!U:U,MATCH(Táblázat4[[#This Row],[IKTATÓ]],'Jogi személy'!V:V,0)),""))</f>
        <v/>
      </c>
      <c r="U14" s="35"/>
      <c r="V14" t="str">
        <f>IFERROR(INDEX(Magánszemély!V:V,MATCH(Táblázat4[[#This Row],[IKTATÓ]],Magánszemély!U:U,0)),IFERROR(INDEX('Jogi személy'!W:W,MATCH(Táblázat4[[#This Row],[IKTATÓ]],'Jogi személy'!V:V,0)),""))</f>
        <v/>
      </c>
      <c r="W14" t="str">
        <f>IFERROR(INDEX(Magánszemély!W:W,MATCH(Táblázat4[[#This Row],[IKTATÓ]],Magánszemély!U:U,0)),IFERROR(INDEX('Jogi személy'!X:X,MATCH(Táblázat4[[#This Row],[IKTATÓ]],'Jogi személy'!V:V,0)),""))</f>
        <v/>
      </c>
      <c r="X14" t="str">
        <f>IFERROR(INDEX(Magánszemély!X:X,MATCH(Táblázat4[[#This Row],[IKTATÓ]],Magánszemély!U:U,0)),IFERROR(INDEX('Jogi személy'!Y:Y,MATCH(Táblázat4[[#This Row],[IKTATÓ]],'Jogi személy'!V:V,0)),""))</f>
        <v/>
      </c>
      <c r="Y14" t="str">
        <f>IFERROR(INDEX(Magánszemély!Y:Y,MATCH(Táblázat4[[#This Row],[IKTATÓ]],Magánszemély!U:U,0)),IFERROR(INDEX('Jogi személy'!Z:Z,MATCH(Táblázat4[[#This Row],[IKTATÓ]],'Jogi személy'!V:V,0)),""))</f>
        <v/>
      </c>
      <c r="Z14" t="str">
        <f>IFERROR(INDEX(Magánszemély!Z:Z,MATCH(Táblázat4[[#This Row],[IKTATÓ]],Magánszemély!U:U,0)),IFERROR(INDEX('Jogi személy'!AA:AA,MATCH(Táblázat4[[#This Row],[IKTATÓ]],'Jogi személy'!V:V,0)),""))</f>
        <v/>
      </c>
      <c r="AA14" t="str">
        <f>IFERROR(INDEX(Magánszemély!AA:AA,MATCH(Táblázat4[[#This Row],[IKTATÓ]],Magánszemély!U:U,0)),IFERROR(INDEX('Jogi személy'!AB:AB,MATCH(Táblázat4[[#This Row],[IKTATÓ]],'Jogi személy'!V:V,0)),""))</f>
        <v/>
      </c>
      <c r="AB14" t="str">
        <f>IFERROR(INDEX(Magánszemély!AB:AB,MATCH(Táblázat4[[#This Row],[IKTATÓ]],Magánszemély!U:U,0)),IFERROR(INDEX('Jogi személy'!AC:AC,MATCH(Táblázat4[[#This Row],[IKTATÓ]],'Jogi személy'!V:V,0)),""))</f>
        <v/>
      </c>
      <c r="AC14" t="str">
        <f>IFERROR(INDEX(Magánszemély!AC:AC,MATCH(Táblázat4[[#This Row],[IKTATÓ]],Magánszemély!U:U,0)),IFERROR(INDEX('Jogi személy'!AD:AD,MATCH(Táblázat4[[#This Row],[IKTATÓ]],'Jogi személy'!V:V,0)),""))</f>
        <v/>
      </c>
      <c r="AD14" t="str">
        <f>IFERROR(INDEX('Jogi személy'!I:I,MATCH(Táblázat4[[#This Row],[IKTATÓ]],'Jogi személy'!V:V,0)),"")</f>
        <v/>
      </c>
      <c r="AE14" t="str">
        <f>IFERROR(INDEX('Jogi személy'!J:J,MATCH(Táblázat4[[#This Row],[IKTATÓ]],'Jogi személy'!V:V,0)),"")</f>
        <v/>
      </c>
      <c r="AF14" t="str">
        <f>IFERROR(INDEX('Jogi személy'!K:K,MATCH(Táblázat4[[#This Row],[IKTATÓ]],'Jogi személy'!V:V,0)),"")</f>
        <v/>
      </c>
      <c r="AG14" t="str">
        <f>IFERROR(INDEX('Jogi személy'!L:L,MATCH(Táblázat4[[#This Row],[IKTATÓ]],'Jogi személy'!V:V,0)),"")</f>
        <v/>
      </c>
    </row>
    <row r="15" spans="1:34" x14ac:dyDescent="0.25">
      <c r="A15" t="str">
        <f>IFERROR(INDEX(Magánszemély!A:A,MATCH(Táblázat4[[#This Row],[IKTATÓ]],Magánszemély!U:U,0)),IFERROR(INDEX('Jogi személy'!A:A,MATCH(Táblázat4[[#This Row],[IKTATÓ]],'Jogi személy'!V:V,0)),""))</f>
        <v/>
      </c>
      <c r="B15" t="str">
        <f>IFERROR(INDEX(Magánszemély!B:B,MATCH(Táblázat4[[#This Row],[IKTATÓ]],Magánszemély!U:U,0)),IFERROR(INDEX('Jogi személy'!B:B,MATCH(Táblázat4[[#This Row],[IKTATÓ]],'Jogi személy'!V:V,0)),""))</f>
        <v/>
      </c>
      <c r="C15" t="str">
        <f>IFERROR(INDEX(Magánszemély!C:C,MATCH(Táblázat4[[#This Row],[IKTATÓ]],Magánszemély!U:U,0)),IFERROR(INDEX('Jogi személy'!C:C,MATCH(Táblázat4[[#This Row],[IKTATÓ]],'Jogi személy'!V:V,0)),""))</f>
        <v/>
      </c>
      <c r="D15" t="str">
        <f>IFERROR(INDEX(Magánszemély!D:D,MATCH(Táblázat4[[#This Row],[IKTATÓ]],Magánszemély!U:U,0)),IFERROR(INDEX('Jogi személy'!D:D,MATCH(Táblázat4[[#This Row],[IKTATÓ]],'Jogi személy'!V:V,0)),""))</f>
        <v/>
      </c>
      <c r="E15" t="str">
        <f>IFERROR(INDEX(Magánszemély!E:E,MATCH(Táblázat4[[#This Row],[IKTATÓ]],Magánszemély!U:U,0)),IFERROR(INDEX('Jogi személy'!E:E,MATCH(Táblázat4[[#This Row],[IKTATÓ]],'Jogi személy'!V:V,0)),""))</f>
        <v/>
      </c>
      <c r="F15" t="str">
        <f>IFERROR(INDEX(Magánszemély!F:F,MATCH(Táblázat4[[#This Row],[IKTATÓ]],Magánszemély!U:U,0)),IFERROR(INDEX('Jogi személy'!F:F,MATCH(Táblázat4[[#This Row],[IKTATÓ]],'Jogi személy'!V:V,0)),""))</f>
        <v/>
      </c>
      <c r="G15" t="str">
        <f>IFERROR(INDEX(Magánszemély!G:G,MATCH(Táblázat4[[#This Row],[IKTATÓ]],Magánszemély!U:U,0)),IFERROR(INDEX('Jogi személy'!G:G,MATCH(Táblázat4[[#This Row],[IKTATÓ]],'Jogi személy'!V:V,0)),""))</f>
        <v/>
      </c>
      <c r="H15" t="str">
        <f>IFERROR(INDEX(Magánszemély!H:H,MATCH(Táblázat4[[#This Row],[IKTATÓ]],Magánszemély!U:U,0)),IFERROR(INDEX('Jogi személy'!H:H,MATCH(Táblázat4[[#This Row],[IKTATÓ]],'Jogi személy'!V:V,0)),""))</f>
        <v/>
      </c>
      <c r="I15" t="str">
        <f>IFERROR(INDEX(Magánszemély!I:I,MATCH(Táblázat4[[#This Row],[IKTATÓ]],Magánszemély!U:U,0)),"")</f>
        <v/>
      </c>
      <c r="J15" t="str">
        <f>IFERROR(INDEX(Magánszemély!J:J,MATCH(Táblázat4[[#This Row],[IKTATÓ]],Magánszemély!U:U,0)),"")</f>
        <v/>
      </c>
      <c r="K15" t="str">
        <f>IFERROR(INDEX(Magánszemély!K:K,MATCH(Táblázat4[[#This Row],[IKTATÓ]],Magánszemély!U:U,0)),"")</f>
        <v/>
      </c>
      <c r="L15" t="str">
        <f>IFERROR(INDEX(Magánszemély!L:L,MATCH(Táblázat4[[#This Row],[IKTATÓ]],Magánszemély!U:U,0)),IFERROR(INDEX('Jogi személy'!M:M,MATCH(Táblázat4[[#This Row],[IKTATÓ]],'Jogi személy'!V:V,0)),""))</f>
        <v/>
      </c>
      <c r="M15" t="str">
        <f>IFERROR(INDEX(Magánszemély!M:M,MATCH(Táblázat4[[#This Row],[IKTATÓ]],Magánszemély!U:U,0)),IFERROR(INDEX('Jogi személy'!N:N,MATCH(Táblázat4[[#This Row],[IKTATÓ]],'Jogi személy'!V:V,0)),""))</f>
        <v/>
      </c>
      <c r="N15" t="str">
        <f>IFERROR(INDEX(Magánszemély!N:N,MATCH(Táblázat4[[#This Row],[IKTATÓ]],Magánszemély!U:U,0)),IFERROR(INDEX('Jogi személy'!O:O,MATCH(Táblázat4[[#This Row],[IKTATÓ]],'Jogi személy'!V:V,0)),""))</f>
        <v/>
      </c>
      <c r="O15" t="str">
        <f>IFERROR(INDEX(Magánszemély!O:O,MATCH(Táblázat4[[#This Row],[IKTATÓ]],Magánszemély!U:U,0)),IFERROR(INDEX('Jogi személy'!P:P,MATCH(Táblázat4[[#This Row],[IKTATÓ]],'Jogi személy'!V:V,0)),""))</f>
        <v/>
      </c>
      <c r="P15" t="str">
        <f>IFERROR(INDEX(Magánszemély!P:P,MATCH(Táblázat4[[#This Row],[IKTATÓ]],Magánszemély!U:U,0)),IFERROR(INDEX('Jogi személy'!Q:Q,MATCH(Táblázat4[[#This Row],[IKTATÓ]],'Jogi személy'!V:V,0)),""))</f>
        <v/>
      </c>
      <c r="Q15" t="str">
        <f>IFERROR(INDEX(Magánszemély!Q:Q,MATCH(Táblázat4[[#This Row],[IKTATÓ]],Magánszemély!U:U,0)),IFERROR(INDEX('Jogi személy'!R:R,MATCH(Táblázat4[[#This Row],[IKTATÓ]],'Jogi személy'!V:V,0)),""))</f>
        <v/>
      </c>
      <c r="R15" t="str">
        <f>IFERROR(INDEX(Magánszemély!R:R,MATCH(Táblázat4[[#This Row],[IKTATÓ]],Magánszemély!U:U,0)),IFERROR(INDEX('Jogi személy'!S:S,MATCH(Táblázat4[[#This Row],[IKTATÓ]],'Jogi személy'!V:V,0)),""))</f>
        <v/>
      </c>
      <c r="S15" t="str">
        <f>IFERROR(INDEX(Magánszemély!S:S,MATCH(Táblázat4[[#This Row],[IKTATÓ]],Magánszemély!U:U,0)),IFERROR(INDEX('Jogi személy'!T:T,MATCH(Táblázat4[[#This Row],[IKTATÓ]],'Jogi személy'!V:V,0)),""))</f>
        <v/>
      </c>
      <c r="T15" t="str">
        <f>IFERROR(INDEX(Magánszemély!T:T,MATCH(Táblázat4[[#This Row],[IKTATÓ]],Magánszemély!U:U,0)),IFERROR(INDEX('Jogi személy'!U:U,MATCH(Táblázat4[[#This Row],[IKTATÓ]],'Jogi személy'!V:V,0)),""))</f>
        <v/>
      </c>
      <c r="U15" s="35"/>
      <c r="V15" t="str">
        <f>IFERROR(INDEX(Magánszemély!V:V,MATCH(Táblázat4[[#This Row],[IKTATÓ]],Magánszemély!U:U,0)),IFERROR(INDEX('Jogi személy'!W:W,MATCH(Táblázat4[[#This Row],[IKTATÓ]],'Jogi személy'!V:V,0)),""))</f>
        <v/>
      </c>
      <c r="W15" t="str">
        <f>IFERROR(INDEX(Magánszemély!W:W,MATCH(Táblázat4[[#This Row],[IKTATÓ]],Magánszemély!U:U,0)),IFERROR(INDEX('Jogi személy'!X:X,MATCH(Táblázat4[[#This Row],[IKTATÓ]],'Jogi személy'!V:V,0)),""))</f>
        <v/>
      </c>
      <c r="X15" t="str">
        <f>IFERROR(INDEX(Magánszemély!X:X,MATCH(Táblázat4[[#This Row],[IKTATÓ]],Magánszemély!U:U,0)),IFERROR(INDEX('Jogi személy'!Y:Y,MATCH(Táblázat4[[#This Row],[IKTATÓ]],'Jogi személy'!V:V,0)),""))</f>
        <v/>
      </c>
      <c r="Y15" t="str">
        <f>IFERROR(INDEX(Magánszemély!Y:Y,MATCH(Táblázat4[[#This Row],[IKTATÓ]],Magánszemély!U:U,0)),IFERROR(INDEX('Jogi személy'!Z:Z,MATCH(Táblázat4[[#This Row],[IKTATÓ]],'Jogi személy'!V:V,0)),""))</f>
        <v/>
      </c>
      <c r="Z15" t="str">
        <f>IFERROR(INDEX(Magánszemély!Z:Z,MATCH(Táblázat4[[#This Row],[IKTATÓ]],Magánszemély!U:U,0)),IFERROR(INDEX('Jogi személy'!AA:AA,MATCH(Táblázat4[[#This Row],[IKTATÓ]],'Jogi személy'!V:V,0)),""))</f>
        <v/>
      </c>
      <c r="AA15" t="str">
        <f>IFERROR(INDEX(Magánszemély!AA:AA,MATCH(Táblázat4[[#This Row],[IKTATÓ]],Magánszemély!U:U,0)),IFERROR(INDEX('Jogi személy'!AB:AB,MATCH(Táblázat4[[#This Row],[IKTATÓ]],'Jogi személy'!V:V,0)),""))</f>
        <v/>
      </c>
      <c r="AB15" t="str">
        <f>IFERROR(INDEX(Magánszemély!AB:AB,MATCH(Táblázat4[[#This Row],[IKTATÓ]],Magánszemély!U:U,0)),IFERROR(INDEX('Jogi személy'!AC:AC,MATCH(Táblázat4[[#This Row],[IKTATÓ]],'Jogi személy'!V:V,0)),""))</f>
        <v/>
      </c>
      <c r="AC15" t="str">
        <f>IFERROR(INDEX(Magánszemély!AC:AC,MATCH(Táblázat4[[#This Row],[IKTATÓ]],Magánszemély!U:U,0)),IFERROR(INDEX('Jogi személy'!AD:AD,MATCH(Táblázat4[[#This Row],[IKTATÓ]],'Jogi személy'!V:V,0)),""))</f>
        <v/>
      </c>
      <c r="AD15" t="str">
        <f>IFERROR(INDEX('Jogi személy'!I:I,MATCH(Táblázat4[[#This Row],[IKTATÓ]],'Jogi személy'!V:V,0)),"")</f>
        <v/>
      </c>
      <c r="AE15" t="str">
        <f>IFERROR(INDEX('Jogi személy'!J:J,MATCH(Táblázat4[[#This Row],[IKTATÓ]],'Jogi személy'!V:V,0)),"")</f>
        <v/>
      </c>
      <c r="AF15" t="str">
        <f>IFERROR(INDEX('Jogi személy'!K:K,MATCH(Táblázat4[[#This Row],[IKTATÓ]],'Jogi személy'!V:V,0)),"")</f>
        <v/>
      </c>
      <c r="AG15" t="str">
        <f>IFERROR(INDEX('Jogi személy'!L:L,MATCH(Táblázat4[[#This Row],[IKTATÓ]],'Jogi személy'!V:V,0)),"")</f>
        <v/>
      </c>
    </row>
    <row r="16" spans="1:34" x14ac:dyDescent="0.25">
      <c r="A16" t="str">
        <f>IFERROR(INDEX(Magánszemély!A:A,MATCH(Táblázat4[[#This Row],[IKTATÓ]],Magánszemély!U:U,0)),IFERROR(INDEX('Jogi személy'!A:A,MATCH(Táblázat4[[#This Row],[IKTATÓ]],'Jogi személy'!V:V,0)),""))</f>
        <v/>
      </c>
      <c r="B16" t="str">
        <f>IFERROR(INDEX(Magánszemély!B:B,MATCH(Táblázat4[[#This Row],[IKTATÓ]],Magánszemély!U:U,0)),IFERROR(INDEX('Jogi személy'!B:B,MATCH(Táblázat4[[#This Row],[IKTATÓ]],'Jogi személy'!V:V,0)),""))</f>
        <v/>
      </c>
      <c r="C16" t="str">
        <f>IFERROR(INDEX(Magánszemély!C:C,MATCH(Táblázat4[[#This Row],[IKTATÓ]],Magánszemély!U:U,0)),IFERROR(INDEX('Jogi személy'!C:C,MATCH(Táblázat4[[#This Row],[IKTATÓ]],'Jogi személy'!V:V,0)),""))</f>
        <v/>
      </c>
      <c r="D16" t="str">
        <f>IFERROR(INDEX(Magánszemély!D:D,MATCH(Táblázat4[[#This Row],[IKTATÓ]],Magánszemély!U:U,0)),IFERROR(INDEX('Jogi személy'!D:D,MATCH(Táblázat4[[#This Row],[IKTATÓ]],'Jogi személy'!V:V,0)),""))</f>
        <v/>
      </c>
      <c r="E16" t="str">
        <f>IFERROR(INDEX(Magánszemély!E:E,MATCH(Táblázat4[[#This Row],[IKTATÓ]],Magánszemély!U:U,0)),IFERROR(INDEX('Jogi személy'!E:E,MATCH(Táblázat4[[#This Row],[IKTATÓ]],'Jogi személy'!V:V,0)),""))</f>
        <v/>
      </c>
      <c r="F16" t="str">
        <f>IFERROR(INDEX(Magánszemély!F:F,MATCH(Táblázat4[[#This Row],[IKTATÓ]],Magánszemély!U:U,0)),IFERROR(INDEX('Jogi személy'!F:F,MATCH(Táblázat4[[#This Row],[IKTATÓ]],'Jogi személy'!V:V,0)),""))</f>
        <v/>
      </c>
      <c r="G16" t="str">
        <f>IFERROR(INDEX(Magánszemély!G:G,MATCH(Táblázat4[[#This Row],[IKTATÓ]],Magánszemély!U:U,0)),IFERROR(INDEX('Jogi személy'!G:G,MATCH(Táblázat4[[#This Row],[IKTATÓ]],'Jogi személy'!V:V,0)),""))</f>
        <v/>
      </c>
      <c r="H16" t="str">
        <f>IFERROR(INDEX(Magánszemély!H:H,MATCH(Táblázat4[[#This Row],[IKTATÓ]],Magánszemély!U:U,0)),IFERROR(INDEX('Jogi személy'!H:H,MATCH(Táblázat4[[#This Row],[IKTATÓ]],'Jogi személy'!V:V,0)),""))</f>
        <v/>
      </c>
      <c r="I16" t="str">
        <f>IFERROR(INDEX(Magánszemély!I:I,MATCH(Táblázat4[[#This Row],[IKTATÓ]],Magánszemély!U:U,0)),"")</f>
        <v/>
      </c>
      <c r="J16" t="str">
        <f>IFERROR(INDEX(Magánszemély!J:J,MATCH(Táblázat4[[#This Row],[IKTATÓ]],Magánszemély!U:U,0)),"")</f>
        <v/>
      </c>
      <c r="K16" t="str">
        <f>IFERROR(INDEX(Magánszemély!K:K,MATCH(Táblázat4[[#This Row],[IKTATÓ]],Magánszemély!U:U,0)),"")</f>
        <v/>
      </c>
      <c r="L16" t="str">
        <f>IFERROR(INDEX(Magánszemély!L:L,MATCH(Táblázat4[[#This Row],[IKTATÓ]],Magánszemély!U:U,0)),IFERROR(INDEX('Jogi személy'!M:M,MATCH(Táblázat4[[#This Row],[IKTATÓ]],'Jogi személy'!V:V,0)),""))</f>
        <v/>
      </c>
      <c r="M16" t="str">
        <f>IFERROR(INDEX(Magánszemély!M:M,MATCH(Táblázat4[[#This Row],[IKTATÓ]],Magánszemély!U:U,0)),IFERROR(INDEX('Jogi személy'!N:N,MATCH(Táblázat4[[#This Row],[IKTATÓ]],'Jogi személy'!V:V,0)),""))</f>
        <v/>
      </c>
      <c r="N16" t="str">
        <f>IFERROR(INDEX(Magánszemély!N:N,MATCH(Táblázat4[[#This Row],[IKTATÓ]],Magánszemély!U:U,0)),IFERROR(INDEX('Jogi személy'!O:O,MATCH(Táblázat4[[#This Row],[IKTATÓ]],'Jogi személy'!V:V,0)),""))</f>
        <v/>
      </c>
      <c r="O16" t="str">
        <f>IFERROR(INDEX(Magánszemély!O:O,MATCH(Táblázat4[[#This Row],[IKTATÓ]],Magánszemély!U:U,0)),IFERROR(INDEX('Jogi személy'!P:P,MATCH(Táblázat4[[#This Row],[IKTATÓ]],'Jogi személy'!V:V,0)),""))</f>
        <v/>
      </c>
      <c r="P16" t="str">
        <f>IFERROR(INDEX(Magánszemély!P:P,MATCH(Táblázat4[[#This Row],[IKTATÓ]],Magánszemély!U:U,0)),IFERROR(INDEX('Jogi személy'!Q:Q,MATCH(Táblázat4[[#This Row],[IKTATÓ]],'Jogi személy'!V:V,0)),""))</f>
        <v/>
      </c>
      <c r="Q16" t="str">
        <f>IFERROR(INDEX(Magánszemély!Q:Q,MATCH(Táblázat4[[#This Row],[IKTATÓ]],Magánszemély!U:U,0)),IFERROR(INDEX('Jogi személy'!R:R,MATCH(Táblázat4[[#This Row],[IKTATÓ]],'Jogi személy'!V:V,0)),""))</f>
        <v/>
      </c>
      <c r="R16" t="str">
        <f>IFERROR(INDEX(Magánszemély!R:R,MATCH(Táblázat4[[#This Row],[IKTATÓ]],Magánszemély!U:U,0)),IFERROR(INDEX('Jogi személy'!S:S,MATCH(Táblázat4[[#This Row],[IKTATÓ]],'Jogi személy'!V:V,0)),""))</f>
        <v/>
      </c>
      <c r="S16" t="str">
        <f>IFERROR(INDEX(Magánszemély!S:S,MATCH(Táblázat4[[#This Row],[IKTATÓ]],Magánszemély!U:U,0)),IFERROR(INDEX('Jogi személy'!T:T,MATCH(Táblázat4[[#This Row],[IKTATÓ]],'Jogi személy'!V:V,0)),""))</f>
        <v/>
      </c>
      <c r="T16" t="str">
        <f>IFERROR(INDEX(Magánszemély!T:T,MATCH(Táblázat4[[#This Row],[IKTATÓ]],Magánszemély!U:U,0)),IFERROR(INDEX('Jogi személy'!U:U,MATCH(Táblázat4[[#This Row],[IKTATÓ]],'Jogi személy'!V:V,0)),""))</f>
        <v/>
      </c>
      <c r="U16" s="35"/>
      <c r="V16" t="str">
        <f>IFERROR(INDEX(Magánszemély!V:V,MATCH(Táblázat4[[#This Row],[IKTATÓ]],Magánszemély!U:U,0)),IFERROR(INDEX('Jogi személy'!W:W,MATCH(Táblázat4[[#This Row],[IKTATÓ]],'Jogi személy'!V:V,0)),""))</f>
        <v/>
      </c>
      <c r="W16" t="str">
        <f>IFERROR(INDEX(Magánszemély!W:W,MATCH(Táblázat4[[#This Row],[IKTATÓ]],Magánszemély!U:U,0)),IFERROR(INDEX('Jogi személy'!X:X,MATCH(Táblázat4[[#This Row],[IKTATÓ]],'Jogi személy'!V:V,0)),""))</f>
        <v/>
      </c>
      <c r="X16" t="str">
        <f>IFERROR(INDEX(Magánszemély!X:X,MATCH(Táblázat4[[#This Row],[IKTATÓ]],Magánszemély!U:U,0)),IFERROR(INDEX('Jogi személy'!Y:Y,MATCH(Táblázat4[[#This Row],[IKTATÓ]],'Jogi személy'!V:V,0)),""))</f>
        <v/>
      </c>
      <c r="Y16" t="str">
        <f>IFERROR(INDEX(Magánszemély!Y:Y,MATCH(Táblázat4[[#This Row],[IKTATÓ]],Magánszemély!U:U,0)),IFERROR(INDEX('Jogi személy'!Z:Z,MATCH(Táblázat4[[#This Row],[IKTATÓ]],'Jogi személy'!V:V,0)),""))</f>
        <v/>
      </c>
      <c r="Z16" t="str">
        <f>IFERROR(INDEX(Magánszemély!Z:Z,MATCH(Táblázat4[[#This Row],[IKTATÓ]],Magánszemély!U:U,0)),IFERROR(INDEX('Jogi személy'!AA:AA,MATCH(Táblázat4[[#This Row],[IKTATÓ]],'Jogi személy'!V:V,0)),""))</f>
        <v/>
      </c>
      <c r="AA16" t="str">
        <f>IFERROR(INDEX(Magánszemély!AA:AA,MATCH(Táblázat4[[#This Row],[IKTATÓ]],Magánszemély!U:U,0)),IFERROR(INDEX('Jogi személy'!AB:AB,MATCH(Táblázat4[[#This Row],[IKTATÓ]],'Jogi személy'!V:V,0)),""))</f>
        <v/>
      </c>
      <c r="AB16" t="str">
        <f>IFERROR(INDEX(Magánszemély!AB:AB,MATCH(Táblázat4[[#This Row],[IKTATÓ]],Magánszemély!U:U,0)),IFERROR(INDEX('Jogi személy'!AC:AC,MATCH(Táblázat4[[#This Row],[IKTATÓ]],'Jogi személy'!V:V,0)),""))</f>
        <v/>
      </c>
      <c r="AC16" t="str">
        <f>IFERROR(INDEX(Magánszemély!AC:AC,MATCH(Táblázat4[[#This Row],[IKTATÓ]],Magánszemély!U:U,0)),IFERROR(INDEX('Jogi személy'!AD:AD,MATCH(Táblázat4[[#This Row],[IKTATÓ]],'Jogi személy'!V:V,0)),""))</f>
        <v/>
      </c>
      <c r="AD16" t="str">
        <f>IFERROR(INDEX('Jogi személy'!I:I,MATCH(Táblázat4[[#This Row],[IKTATÓ]],'Jogi személy'!V:V,0)),"")</f>
        <v/>
      </c>
      <c r="AE16" t="str">
        <f>IFERROR(INDEX('Jogi személy'!J:J,MATCH(Táblázat4[[#This Row],[IKTATÓ]],'Jogi személy'!V:V,0)),"")</f>
        <v/>
      </c>
      <c r="AF16" t="str">
        <f>IFERROR(INDEX('Jogi személy'!K:K,MATCH(Táblázat4[[#This Row],[IKTATÓ]],'Jogi személy'!V:V,0)),"")</f>
        <v/>
      </c>
      <c r="AG16" t="str">
        <f>IFERROR(INDEX('Jogi személy'!L:L,MATCH(Táblázat4[[#This Row],[IKTATÓ]],'Jogi személy'!V:V,0)),"")</f>
        <v/>
      </c>
    </row>
    <row r="17" spans="1:33" x14ac:dyDescent="0.25">
      <c r="A17" t="str">
        <f>IFERROR(INDEX(Magánszemély!A:A,MATCH(Táblázat4[[#This Row],[IKTATÓ]],Magánszemély!U:U,0)),IFERROR(INDEX('Jogi személy'!A:A,MATCH(Táblázat4[[#This Row],[IKTATÓ]],'Jogi személy'!V:V,0)),""))</f>
        <v/>
      </c>
      <c r="B17" t="str">
        <f>IFERROR(INDEX(Magánszemély!B:B,MATCH(Táblázat4[[#This Row],[IKTATÓ]],Magánszemély!U:U,0)),IFERROR(INDEX('Jogi személy'!B:B,MATCH(Táblázat4[[#This Row],[IKTATÓ]],'Jogi személy'!V:V,0)),""))</f>
        <v/>
      </c>
      <c r="C17" t="str">
        <f>IFERROR(INDEX(Magánszemély!C:C,MATCH(Táblázat4[[#This Row],[IKTATÓ]],Magánszemély!U:U,0)),IFERROR(INDEX('Jogi személy'!C:C,MATCH(Táblázat4[[#This Row],[IKTATÓ]],'Jogi személy'!V:V,0)),""))</f>
        <v/>
      </c>
      <c r="D17" t="str">
        <f>IFERROR(INDEX(Magánszemély!D:D,MATCH(Táblázat4[[#This Row],[IKTATÓ]],Magánszemély!U:U,0)),IFERROR(INDEX('Jogi személy'!D:D,MATCH(Táblázat4[[#This Row],[IKTATÓ]],'Jogi személy'!V:V,0)),""))</f>
        <v/>
      </c>
      <c r="E17" t="str">
        <f>IFERROR(INDEX(Magánszemély!E:E,MATCH(Táblázat4[[#This Row],[IKTATÓ]],Magánszemély!U:U,0)),IFERROR(INDEX('Jogi személy'!E:E,MATCH(Táblázat4[[#This Row],[IKTATÓ]],'Jogi személy'!V:V,0)),""))</f>
        <v/>
      </c>
      <c r="F17" t="str">
        <f>IFERROR(INDEX(Magánszemély!F:F,MATCH(Táblázat4[[#This Row],[IKTATÓ]],Magánszemély!U:U,0)),IFERROR(INDEX('Jogi személy'!F:F,MATCH(Táblázat4[[#This Row],[IKTATÓ]],'Jogi személy'!V:V,0)),""))</f>
        <v/>
      </c>
      <c r="G17" t="str">
        <f>IFERROR(INDEX(Magánszemély!G:G,MATCH(Táblázat4[[#This Row],[IKTATÓ]],Magánszemély!U:U,0)),IFERROR(INDEX('Jogi személy'!G:G,MATCH(Táblázat4[[#This Row],[IKTATÓ]],'Jogi személy'!V:V,0)),""))</f>
        <v/>
      </c>
      <c r="H17" t="str">
        <f>IFERROR(INDEX(Magánszemély!H:H,MATCH(Táblázat4[[#This Row],[IKTATÓ]],Magánszemély!U:U,0)),IFERROR(INDEX('Jogi személy'!H:H,MATCH(Táblázat4[[#This Row],[IKTATÓ]],'Jogi személy'!V:V,0)),""))</f>
        <v/>
      </c>
      <c r="I17" t="str">
        <f>IFERROR(INDEX(Magánszemély!I:I,MATCH(Táblázat4[[#This Row],[IKTATÓ]],Magánszemély!U:U,0)),"")</f>
        <v/>
      </c>
      <c r="J17" t="str">
        <f>IFERROR(INDEX(Magánszemély!J:J,MATCH(Táblázat4[[#This Row],[IKTATÓ]],Magánszemély!U:U,0)),"")</f>
        <v/>
      </c>
      <c r="K17" t="str">
        <f>IFERROR(INDEX(Magánszemély!K:K,MATCH(Táblázat4[[#This Row],[IKTATÓ]],Magánszemély!U:U,0)),"")</f>
        <v/>
      </c>
      <c r="L17" t="str">
        <f>IFERROR(INDEX(Magánszemély!L:L,MATCH(Táblázat4[[#This Row],[IKTATÓ]],Magánszemély!U:U,0)),IFERROR(INDEX('Jogi személy'!M:M,MATCH(Táblázat4[[#This Row],[IKTATÓ]],'Jogi személy'!V:V,0)),""))</f>
        <v/>
      </c>
      <c r="M17" t="str">
        <f>IFERROR(INDEX(Magánszemély!M:M,MATCH(Táblázat4[[#This Row],[IKTATÓ]],Magánszemély!U:U,0)),IFERROR(INDEX('Jogi személy'!N:N,MATCH(Táblázat4[[#This Row],[IKTATÓ]],'Jogi személy'!V:V,0)),""))</f>
        <v/>
      </c>
      <c r="N17" t="str">
        <f>IFERROR(INDEX(Magánszemély!N:N,MATCH(Táblázat4[[#This Row],[IKTATÓ]],Magánszemély!U:U,0)),IFERROR(INDEX('Jogi személy'!O:O,MATCH(Táblázat4[[#This Row],[IKTATÓ]],'Jogi személy'!V:V,0)),""))</f>
        <v/>
      </c>
      <c r="O17" t="str">
        <f>IFERROR(INDEX(Magánszemély!O:O,MATCH(Táblázat4[[#This Row],[IKTATÓ]],Magánszemély!U:U,0)),IFERROR(INDEX('Jogi személy'!P:P,MATCH(Táblázat4[[#This Row],[IKTATÓ]],'Jogi személy'!V:V,0)),""))</f>
        <v/>
      </c>
      <c r="P17" t="str">
        <f>IFERROR(INDEX(Magánszemély!P:P,MATCH(Táblázat4[[#This Row],[IKTATÓ]],Magánszemély!U:U,0)),IFERROR(INDEX('Jogi személy'!Q:Q,MATCH(Táblázat4[[#This Row],[IKTATÓ]],'Jogi személy'!V:V,0)),""))</f>
        <v/>
      </c>
      <c r="Q17" t="str">
        <f>IFERROR(INDEX(Magánszemély!Q:Q,MATCH(Táblázat4[[#This Row],[IKTATÓ]],Magánszemély!U:U,0)),IFERROR(INDEX('Jogi személy'!R:R,MATCH(Táblázat4[[#This Row],[IKTATÓ]],'Jogi személy'!V:V,0)),""))</f>
        <v/>
      </c>
      <c r="R17" t="str">
        <f>IFERROR(INDEX(Magánszemély!R:R,MATCH(Táblázat4[[#This Row],[IKTATÓ]],Magánszemély!U:U,0)),IFERROR(INDEX('Jogi személy'!S:S,MATCH(Táblázat4[[#This Row],[IKTATÓ]],'Jogi személy'!V:V,0)),""))</f>
        <v/>
      </c>
      <c r="S17" t="str">
        <f>IFERROR(INDEX(Magánszemély!S:S,MATCH(Táblázat4[[#This Row],[IKTATÓ]],Magánszemély!U:U,0)),IFERROR(INDEX('Jogi személy'!T:T,MATCH(Táblázat4[[#This Row],[IKTATÓ]],'Jogi személy'!V:V,0)),""))</f>
        <v/>
      </c>
      <c r="T17" t="str">
        <f>IFERROR(INDEX(Magánszemély!T:T,MATCH(Táblázat4[[#This Row],[IKTATÓ]],Magánszemély!U:U,0)),IFERROR(INDEX('Jogi személy'!U:U,MATCH(Táblázat4[[#This Row],[IKTATÓ]],'Jogi személy'!V:V,0)),""))</f>
        <v/>
      </c>
      <c r="U17" s="35"/>
      <c r="V17" t="str">
        <f>IFERROR(INDEX(Magánszemély!V:V,MATCH(Táblázat4[[#This Row],[IKTATÓ]],Magánszemély!U:U,0)),IFERROR(INDEX('Jogi személy'!W:W,MATCH(Táblázat4[[#This Row],[IKTATÓ]],'Jogi személy'!V:V,0)),""))</f>
        <v/>
      </c>
      <c r="W17" t="str">
        <f>IFERROR(INDEX(Magánszemély!W:W,MATCH(Táblázat4[[#This Row],[IKTATÓ]],Magánszemély!U:U,0)),IFERROR(INDEX('Jogi személy'!X:X,MATCH(Táblázat4[[#This Row],[IKTATÓ]],'Jogi személy'!V:V,0)),""))</f>
        <v/>
      </c>
      <c r="X17" t="str">
        <f>IFERROR(INDEX(Magánszemély!X:X,MATCH(Táblázat4[[#This Row],[IKTATÓ]],Magánszemély!U:U,0)),IFERROR(INDEX('Jogi személy'!Y:Y,MATCH(Táblázat4[[#This Row],[IKTATÓ]],'Jogi személy'!V:V,0)),""))</f>
        <v/>
      </c>
      <c r="Y17" t="str">
        <f>IFERROR(INDEX(Magánszemély!Y:Y,MATCH(Táblázat4[[#This Row],[IKTATÓ]],Magánszemély!U:U,0)),IFERROR(INDEX('Jogi személy'!Z:Z,MATCH(Táblázat4[[#This Row],[IKTATÓ]],'Jogi személy'!V:V,0)),""))</f>
        <v/>
      </c>
      <c r="Z17" t="str">
        <f>IFERROR(INDEX(Magánszemély!Z:Z,MATCH(Táblázat4[[#This Row],[IKTATÓ]],Magánszemély!U:U,0)),IFERROR(INDEX('Jogi személy'!AA:AA,MATCH(Táblázat4[[#This Row],[IKTATÓ]],'Jogi személy'!V:V,0)),""))</f>
        <v/>
      </c>
      <c r="AA17" t="str">
        <f>IFERROR(INDEX(Magánszemély!AA:AA,MATCH(Táblázat4[[#This Row],[IKTATÓ]],Magánszemély!U:U,0)),IFERROR(INDEX('Jogi személy'!AB:AB,MATCH(Táblázat4[[#This Row],[IKTATÓ]],'Jogi személy'!V:V,0)),""))</f>
        <v/>
      </c>
      <c r="AB17" t="str">
        <f>IFERROR(INDEX(Magánszemély!AB:AB,MATCH(Táblázat4[[#This Row],[IKTATÓ]],Magánszemély!U:U,0)),IFERROR(INDEX('Jogi személy'!AC:AC,MATCH(Táblázat4[[#This Row],[IKTATÓ]],'Jogi személy'!V:V,0)),""))</f>
        <v/>
      </c>
      <c r="AC17" t="str">
        <f>IFERROR(INDEX(Magánszemély!AC:AC,MATCH(Táblázat4[[#This Row],[IKTATÓ]],Magánszemély!U:U,0)),IFERROR(INDEX('Jogi személy'!AD:AD,MATCH(Táblázat4[[#This Row],[IKTATÓ]],'Jogi személy'!V:V,0)),""))</f>
        <v/>
      </c>
      <c r="AD17" t="str">
        <f>IFERROR(INDEX('Jogi személy'!I:I,MATCH(Táblázat4[[#This Row],[IKTATÓ]],'Jogi személy'!V:V,0)),"")</f>
        <v/>
      </c>
      <c r="AE17" t="str">
        <f>IFERROR(INDEX('Jogi személy'!J:J,MATCH(Táblázat4[[#This Row],[IKTATÓ]],'Jogi személy'!V:V,0)),"")</f>
        <v/>
      </c>
      <c r="AF17" t="str">
        <f>IFERROR(INDEX('Jogi személy'!K:K,MATCH(Táblázat4[[#This Row],[IKTATÓ]],'Jogi személy'!V:V,0)),"")</f>
        <v/>
      </c>
      <c r="AG17" t="str">
        <f>IFERROR(INDEX('Jogi személy'!L:L,MATCH(Táblázat4[[#This Row],[IKTATÓ]],'Jogi személy'!V:V,0)),"")</f>
        <v/>
      </c>
    </row>
    <row r="18" spans="1:33" x14ac:dyDescent="0.25">
      <c r="A18" t="str">
        <f>IFERROR(INDEX(Magánszemély!A:A,MATCH(Táblázat4[[#This Row],[IKTATÓ]],Magánszemély!U:U,0)),IFERROR(INDEX('Jogi személy'!A:A,MATCH(Táblázat4[[#This Row],[IKTATÓ]],'Jogi személy'!V:V,0)),""))</f>
        <v/>
      </c>
      <c r="B18" t="str">
        <f>IFERROR(INDEX(Magánszemély!B:B,MATCH(Táblázat4[[#This Row],[IKTATÓ]],Magánszemély!U:U,0)),IFERROR(INDEX('Jogi személy'!B:B,MATCH(Táblázat4[[#This Row],[IKTATÓ]],'Jogi személy'!V:V,0)),""))</f>
        <v/>
      </c>
      <c r="C18" t="str">
        <f>IFERROR(INDEX(Magánszemély!C:C,MATCH(Táblázat4[[#This Row],[IKTATÓ]],Magánszemély!U:U,0)),IFERROR(INDEX('Jogi személy'!C:C,MATCH(Táblázat4[[#This Row],[IKTATÓ]],'Jogi személy'!V:V,0)),""))</f>
        <v/>
      </c>
      <c r="D18" t="str">
        <f>IFERROR(INDEX(Magánszemély!D:D,MATCH(Táblázat4[[#This Row],[IKTATÓ]],Magánszemély!U:U,0)),IFERROR(INDEX('Jogi személy'!D:D,MATCH(Táblázat4[[#This Row],[IKTATÓ]],'Jogi személy'!V:V,0)),""))</f>
        <v/>
      </c>
      <c r="E18" t="str">
        <f>IFERROR(INDEX(Magánszemély!E:E,MATCH(Táblázat4[[#This Row],[IKTATÓ]],Magánszemély!U:U,0)),IFERROR(INDEX('Jogi személy'!E:E,MATCH(Táblázat4[[#This Row],[IKTATÓ]],'Jogi személy'!V:V,0)),""))</f>
        <v/>
      </c>
      <c r="F18" t="str">
        <f>IFERROR(INDEX(Magánszemély!F:F,MATCH(Táblázat4[[#This Row],[IKTATÓ]],Magánszemély!U:U,0)),IFERROR(INDEX('Jogi személy'!F:F,MATCH(Táblázat4[[#This Row],[IKTATÓ]],'Jogi személy'!V:V,0)),""))</f>
        <v/>
      </c>
      <c r="G18" t="str">
        <f>IFERROR(INDEX(Magánszemély!G:G,MATCH(Táblázat4[[#This Row],[IKTATÓ]],Magánszemély!U:U,0)),IFERROR(INDEX('Jogi személy'!G:G,MATCH(Táblázat4[[#This Row],[IKTATÓ]],'Jogi személy'!V:V,0)),""))</f>
        <v/>
      </c>
      <c r="H18" t="str">
        <f>IFERROR(INDEX(Magánszemély!H:H,MATCH(Táblázat4[[#This Row],[IKTATÓ]],Magánszemély!U:U,0)),IFERROR(INDEX('Jogi személy'!H:H,MATCH(Táblázat4[[#This Row],[IKTATÓ]],'Jogi személy'!V:V,0)),""))</f>
        <v/>
      </c>
      <c r="I18" t="str">
        <f>IFERROR(INDEX(Magánszemély!I:I,MATCH(Táblázat4[[#This Row],[IKTATÓ]],Magánszemély!U:U,0)),"")</f>
        <v/>
      </c>
      <c r="J18" t="str">
        <f>IFERROR(INDEX(Magánszemély!J:J,MATCH(Táblázat4[[#This Row],[IKTATÓ]],Magánszemély!U:U,0)),"")</f>
        <v/>
      </c>
      <c r="K18" t="str">
        <f>IFERROR(INDEX(Magánszemély!K:K,MATCH(Táblázat4[[#This Row],[IKTATÓ]],Magánszemély!U:U,0)),"")</f>
        <v/>
      </c>
      <c r="L18" t="str">
        <f>IFERROR(INDEX(Magánszemély!L:L,MATCH(Táblázat4[[#This Row],[IKTATÓ]],Magánszemély!U:U,0)),IFERROR(INDEX('Jogi személy'!M:M,MATCH(Táblázat4[[#This Row],[IKTATÓ]],'Jogi személy'!V:V,0)),""))</f>
        <v/>
      </c>
      <c r="M18" t="str">
        <f>IFERROR(INDEX(Magánszemély!M:M,MATCH(Táblázat4[[#This Row],[IKTATÓ]],Magánszemély!U:U,0)),IFERROR(INDEX('Jogi személy'!N:N,MATCH(Táblázat4[[#This Row],[IKTATÓ]],'Jogi személy'!V:V,0)),""))</f>
        <v/>
      </c>
      <c r="N18" t="str">
        <f>IFERROR(INDEX(Magánszemély!N:N,MATCH(Táblázat4[[#This Row],[IKTATÓ]],Magánszemély!U:U,0)),IFERROR(INDEX('Jogi személy'!O:O,MATCH(Táblázat4[[#This Row],[IKTATÓ]],'Jogi személy'!V:V,0)),""))</f>
        <v/>
      </c>
      <c r="O18" t="str">
        <f>IFERROR(INDEX(Magánszemély!O:O,MATCH(Táblázat4[[#This Row],[IKTATÓ]],Magánszemély!U:U,0)),IFERROR(INDEX('Jogi személy'!P:P,MATCH(Táblázat4[[#This Row],[IKTATÓ]],'Jogi személy'!V:V,0)),""))</f>
        <v/>
      </c>
      <c r="P18" t="str">
        <f>IFERROR(INDEX(Magánszemély!P:P,MATCH(Táblázat4[[#This Row],[IKTATÓ]],Magánszemély!U:U,0)),IFERROR(INDEX('Jogi személy'!Q:Q,MATCH(Táblázat4[[#This Row],[IKTATÓ]],'Jogi személy'!V:V,0)),""))</f>
        <v/>
      </c>
      <c r="Q18" t="str">
        <f>IFERROR(INDEX(Magánszemély!Q:Q,MATCH(Táblázat4[[#This Row],[IKTATÓ]],Magánszemély!U:U,0)),IFERROR(INDEX('Jogi személy'!R:R,MATCH(Táblázat4[[#This Row],[IKTATÓ]],'Jogi személy'!V:V,0)),""))</f>
        <v/>
      </c>
      <c r="R18" t="str">
        <f>IFERROR(INDEX(Magánszemély!R:R,MATCH(Táblázat4[[#This Row],[IKTATÓ]],Magánszemély!U:U,0)),IFERROR(INDEX('Jogi személy'!S:S,MATCH(Táblázat4[[#This Row],[IKTATÓ]],'Jogi személy'!V:V,0)),""))</f>
        <v/>
      </c>
      <c r="S18" t="str">
        <f>IFERROR(INDEX(Magánszemély!S:S,MATCH(Táblázat4[[#This Row],[IKTATÓ]],Magánszemély!U:U,0)),IFERROR(INDEX('Jogi személy'!T:T,MATCH(Táblázat4[[#This Row],[IKTATÓ]],'Jogi személy'!V:V,0)),""))</f>
        <v/>
      </c>
      <c r="T18" t="str">
        <f>IFERROR(INDEX(Magánszemély!T:T,MATCH(Táblázat4[[#This Row],[IKTATÓ]],Magánszemély!U:U,0)),IFERROR(INDEX('Jogi személy'!U:U,MATCH(Táblázat4[[#This Row],[IKTATÓ]],'Jogi személy'!V:V,0)),""))</f>
        <v/>
      </c>
      <c r="U18" s="35"/>
      <c r="V18" t="str">
        <f>IFERROR(INDEX(Magánszemély!V:V,MATCH(Táblázat4[[#This Row],[IKTATÓ]],Magánszemély!U:U,0)),IFERROR(INDEX('Jogi személy'!W:W,MATCH(Táblázat4[[#This Row],[IKTATÓ]],'Jogi személy'!V:V,0)),""))</f>
        <v/>
      </c>
      <c r="W18" t="str">
        <f>IFERROR(INDEX(Magánszemély!W:W,MATCH(Táblázat4[[#This Row],[IKTATÓ]],Magánszemély!U:U,0)),IFERROR(INDEX('Jogi személy'!X:X,MATCH(Táblázat4[[#This Row],[IKTATÓ]],'Jogi személy'!V:V,0)),""))</f>
        <v/>
      </c>
      <c r="X18" t="str">
        <f>IFERROR(INDEX(Magánszemély!X:X,MATCH(Táblázat4[[#This Row],[IKTATÓ]],Magánszemély!U:U,0)),IFERROR(INDEX('Jogi személy'!Y:Y,MATCH(Táblázat4[[#This Row],[IKTATÓ]],'Jogi személy'!V:V,0)),""))</f>
        <v/>
      </c>
      <c r="Y18" t="str">
        <f>IFERROR(INDEX(Magánszemély!Y:Y,MATCH(Táblázat4[[#This Row],[IKTATÓ]],Magánszemély!U:U,0)),IFERROR(INDEX('Jogi személy'!Z:Z,MATCH(Táblázat4[[#This Row],[IKTATÓ]],'Jogi személy'!V:V,0)),""))</f>
        <v/>
      </c>
      <c r="Z18" t="str">
        <f>IFERROR(INDEX(Magánszemély!Z:Z,MATCH(Táblázat4[[#This Row],[IKTATÓ]],Magánszemély!U:U,0)),IFERROR(INDEX('Jogi személy'!AA:AA,MATCH(Táblázat4[[#This Row],[IKTATÓ]],'Jogi személy'!V:V,0)),""))</f>
        <v/>
      </c>
      <c r="AA18" t="str">
        <f>IFERROR(INDEX(Magánszemély!AA:AA,MATCH(Táblázat4[[#This Row],[IKTATÓ]],Magánszemély!U:U,0)),IFERROR(INDEX('Jogi személy'!AB:AB,MATCH(Táblázat4[[#This Row],[IKTATÓ]],'Jogi személy'!V:V,0)),""))</f>
        <v/>
      </c>
      <c r="AB18" t="str">
        <f>IFERROR(INDEX(Magánszemély!AB:AB,MATCH(Táblázat4[[#This Row],[IKTATÓ]],Magánszemély!U:U,0)),IFERROR(INDEX('Jogi személy'!AC:AC,MATCH(Táblázat4[[#This Row],[IKTATÓ]],'Jogi személy'!V:V,0)),""))</f>
        <v/>
      </c>
      <c r="AC18" t="str">
        <f>IFERROR(INDEX(Magánszemély!AC:AC,MATCH(Táblázat4[[#This Row],[IKTATÓ]],Magánszemély!U:U,0)),IFERROR(INDEX('Jogi személy'!AD:AD,MATCH(Táblázat4[[#This Row],[IKTATÓ]],'Jogi személy'!V:V,0)),""))</f>
        <v/>
      </c>
      <c r="AD18" t="str">
        <f>IFERROR(INDEX('Jogi személy'!I:I,MATCH(Táblázat4[[#This Row],[IKTATÓ]],'Jogi személy'!V:V,0)),"")</f>
        <v/>
      </c>
      <c r="AE18" t="str">
        <f>IFERROR(INDEX('Jogi személy'!J:J,MATCH(Táblázat4[[#This Row],[IKTATÓ]],'Jogi személy'!V:V,0)),"")</f>
        <v/>
      </c>
      <c r="AF18" t="str">
        <f>IFERROR(INDEX('Jogi személy'!K:K,MATCH(Táblázat4[[#This Row],[IKTATÓ]],'Jogi személy'!V:V,0)),"")</f>
        <v/>
      </c>
      <c r="AG18" t="str">
        <f>IFERROR(INDEX('Jogi személy'!L:L,MATCH(Táblázat4[[#This Row],[IKTATÓ]],'Jogi személy'!V:V,0)),"")</f>
        <v/>
      </c>
    </row>
    <row r="19" spans="1:33" x14ac:dyDescent="0.25">
      <c r="A19" t="str">
        <f>IFERROR(INDEX(Magánszemély!A:A,MATCH(Táblázat4[[#This Row],[IKTATÓ]],Magánszemély!U:U,0)),IFERROR(INDEX('Jogi személy'!A:A,MATCH(Táblázat4[[#This Row],[IKTATÓ]],'Jogi személy'!V:V,0)),""))</f>
        <v/>
      </c>
      <c r="B19" t="str">
        <f>IFERROR(INDEX(Magánszemély!B:B,MATCH(Táblázat4[[#This Row],[IKTATÓ]],Magánszemély!U:U,0)),IFERROR(INDEX('Jogi személy'!B:B,MATCH(Táblázat4[[#This Row],[IKTATÓ]],'Jogi személy'!V:V,0)),""))</f>
        <v/>
      </c>
      <c r="C19" t="str">
        <f>IFERROR(INDEX(Magánszemély!C:C,MATCH(Táblázat4[[#This Row],[IKTATÓ]],Magánszemély!U:U,0)),IFERROR(INDEX('Jogi személy'!C:C,MATCH(Táblázat4[[#This Row],[IKTATÓ]],'Jogi személy'!V:V,0)),""))</f>
        <v/>
      </c>
      <c r="D19" t="str">
        <f>IFERROR(INDEX(Magánszemély!D:D,MATCH(Táblázat4[[#This Row],[IKTATÓ]],Magánszemély!U:U,0)),IFERROR(INDEX('Jogi személy'!D:D,MATCH(Táblázat4[[#This Row],[IKTATÓ]],'Jogi személy'!V:V,0)),""))</f>
        <v/>
      </c>
      <c r="E19" t="str">
        <f>IFERROR(INDEX(Magánszemély!E:E,MATCH(Táblázat4[[#This Row],[IKTATÓ]],Magánszemély!U:U,0)),IFERROR(INDEX('Jogi személy'!E:E,MATCH(Táblázat4[[#This Row],[IKTATÓ]],'Jogi személy'!V:V,0)),""))</f>
        <v/>
      </c>
      <c r="F19" t="str">
        <f>IFERROR(INDEX(Magánszemély!F:F,MATCH(Táblázat4[[#This Row],[IKTATÓ]],Magánszemély!U:U,0)),IFERROR(INDEX('Jogi személy'!F:F,MATCH(Táblázat4[[#This Row],[IKTATÓ]],'Jogi személy'!V:V,0)),""))</f>
        <v/>
      </c>
      <c r="G19" t="str">
        <f>IFERROR(INDEX(Magánszemély!G:G,MATCH(Táblázat4[[#This Row],[IKTATÓ]],Magánszemély!U:U,0)),IFERROR(INDEX('Jogi személy'!G:G,MATCH(Táblázat4[[#This Row],[IKTATÓ]],'Jogi személy'!V:V,0)),""))</f>
        <v/>
      </c>
      <c r="H19" t="str">
        <f>IFERROR(INDEX(Magánszemély!H:H,MATCH(Táblázat4[[#This Row],[IKTATÓ]],Magánszemély!U:U,0)),IFERROR(INDEX('Jogi személy'!H:H,MATCH(Táblázat4[[#This Row],[IKTATÓ]],'Jogi személy'!V:V,0)),""))</f>
        <v/>
      </c>
      <c r="I19" t="str">
        <f>IFERROR(INDEX(Magánszemély!I:I,MATCH(Táblázat4[[#This Row],[IKTATÓ]],Magánszemély!U:U,0)),"")</f>
        <v/>
      </c>
      <c r="J19" t="str">
        <f>IFERROR(INDEX(Magánszemély!J:J,MATCH(Táblázat4[[#This Row],[IKTATÓ]],Magánszemély!U:U,0)),"")</f>
        <v/>
      </c>
      <c r="K19" t="str">
        <f>IFERROR(INDEX(Magánszemély!K:K,MATCH(Táblázat4[[#This Row],[IKTATÓ]],Magánszemély!U:U,0)),"")</f>
        <v/>
      </c>
      <c r="L19" t="str">
        <f>IFERROR(INDEX(Magánszemély!L:L,MATCH(Táblázat4[[#This Row],[IKTATÓ]],Magánszemély!U:U,0)),IFERROR(INDEX('Jogi személy'!M:M,MATCH(Táblázat4[[#This Row],[IKTATÓ]],'Jogi személy'!V:V,0)),""))</f>
        <v/>
      </c>
      <c r="M19" t="str">
        <f>IFERROR(INDEX(Magánszemély!M:M,MATCH(Táblázat4[[#This Row],[IKTATÓ]],Magánszemély!U:U,0)),IFERROR(INDEX('Jogi személy'!N:N,MATCH(Táblázat4[[#This Row],[IKTATÓ]],'Jogi személy'!V:V,0)),""))</f>
        <v/>
      </c>
      <c r="N19" t="str">
        <f>IFERROR(INDEX(Magánszemély!N:N,MATCH(Táblázat4[[#This Row],[IKTATÓ]],Magánszemély!U:U,0)),IFERROR(INDEX('Jogi személy'!O:O,MATCH(Táblázat4[[#This Row],[IKTATÓ]],'Jogi személy'!V:V,0)),""))</f>
        <v/>
      </c>
      <c r="O19" t="str">
        <f>IFERROR(INDEX(Magánszemély!O:O,MATCH(Táblázat4[[#This Row],[IKTATÓ]],Magánszemély!U:U,0)),IFERROR(INDEX('Jogi személy'!P:P,MATCH(Táblázat4[[#This Row],[IKTATÓ]],'Jogi személy'!V:V,0)),""))</f>
        <v/>
      </c>
      <c r="P19" t="str">
        <f>IFERROR(INDEX(Magánszemély!P:P,MATCH(Táblázat4[[#This Row],[IKTATÓ]],Magánszemély!U:U,0)),IFERROR(INDEX('Jogi személy'!Q:Q,MATCH(Táblázat4[[#This Row],[IKTATÓ]],'Jogi személy'!V:V,0)),""))</f>
        <v/>
      </c>
      <c r="Q19" t="str">
        <f>IFERROR(INDEX(Magánszemély!Q:Q,MATCH(Táblázat4[[#This Row],[IKTATÓ]],Magánszemély!U:U,0)),IFERROR(INDEX('Jogi személy'!R:R,MATCH(Táblázat4[[#This Row],[IKTATÓ]],'Jogi személy'!V:V,0)),""))</f>
        <v/>
      </c>
      <c r="R19" t="str">
        <f>IFERROR(INDEX(Magánszemély!R:R,MATCH(Táblázat4[[#This Row],[IKTATÓ]],Magánszemély!U:U,0)),IFERROR(INDEX('Jogi személy'!S:S,MATCH(Táblázat4[[#This Row],[IKTATÓ]],'Jogi személy'!V:V,0)),""))</f>
        <v/>
      </c>
      <c r="S19" t="str">
        <f>IFERROR(INDEX(Magánszemély!S:S,MATCH(Táblázat4[[#This Row],[IKTATÓ]],Magánszemély!U:U,0)),IFERROR(INDEX('Jogi személy'!T:T,MATCH(Táblázat4[[#This Row],[IKTATÓ]],'Jogi személy'!V:V,0)),""))</f>
        <v/>
      </c>
      <c r="T19" t="str">
        <f>IFERROR(INDEX(Magánszemély!T:T,MATCH(Táblázat4[[#This Row],[IKTATÓ]],Magánszemély!U:U,0)),IFERROR(INDEX('Jogi személy'!U:U,MATCH(Táblázat4[[#This Row],[IKTATÓ]],'Jogi személy'!V:V,0)),""))</f>
        <v/>
      </c>
      <c r="U19" s="35"/>
      <c r="V19" t="str">
        <f>IFERROR(INDEX(Magánszemély!V:V,MATCH(Táblázat4[[#This Row],[IKTATÓ]],Magánszemély!U:U,0)),IFERROR(INDEX('Jogi személy'!W:W,MATCH(Táblázat4[[#This Row],[IKTATÓ]],'Jogi személy'!V:V,0)),""))</f>
        <v/>
      </c>
      <c r="W19" t="str">
        <f>IFERROR(INDEX(Magánszemély!W:W,MATCH(Táblázat4[[#This Row],[IKTATÓ]],Magánszemély!U:U,0)),IFERROR(INDEX('Jogi személy'!X:X,MATCH(Táblázat4[[#This Row],[IKTATÓ]],'Jogi személy'!V:V,0)),""))</f>
        <v/>
      </c>
      <c r="X19" t="str">
        <f>IFERROR(INDEX(Magánszemély!X:X,MATCH(Táblázat4[[#This Row],[IKTATÓ]],Magánszemély!U:U,0)),IFERROR(INDEX('Jogi személy'!Y:Y,MATCH(Táblázat4[[#This Row],[IKTATÓ]],'Jogi személy'!V:V,0)),""))</f>
        <v/>
      </c>
      <c r="Y19" t="str">
        <f>IFERROR(INDEX(Magánszemély!Y:Y,MATCH(Táblázat4[[#This Row],[IKTATÓ]],Magánszemély!U:U,0)),IFERROR(INDEX('Jogi személy'!Z:Z,MATCH(Táblázat4[[#This Row],[IKTATÓ]],'Jogi személy'!V:V,0)),""))</f>
        <v/>
      </c>
      <c r="Z19" t="str">
        <f>IFERROR(INDEX(Magánszemély!Z:Z,MATCH(Táblázat4[[#This Row],[IKTATÓ]],Magánszemély!U:U,0)),IFERROR(INDEX('Jogi személy'!AA:AA,MATCH(Táblázat4[[#This Row],[IKTATÓ]],'Jogi személy'!V:V,0)),""))</f>
        <v/>
      </c>
      <c r="AA19" t="str">
        <f>IFERROR(INDEX(Magánszemély!AA:AA,MATCH(Táblázat4[[#This Row],[IKTATÓ]],Magánszemély!U:U,0)),IFERROR(INDEX('Jogi személy'!AB:AB,MATCH(Táblázat4[[#This Row],[IKTATÓ]],'Jogi személy'!V:V,0)),""))</f>
        <v/>
      </c>
      <c r="AB19" t="str">
        <f>IFERROR(INDEX(Magánszemély!AB:AB,MATCH(Táblázat4[[#This Row],[IKTATÓ]],Magánszemély!U:U,0)),IFERROR(INDEX('Jogi személy'!AC:AC,MATCH(Táblázat4[[#This Row],[IKTATÓ]],'Jogi személy'!V:V,0)),""))</f>
        <v/>
      </c>
      <c r="AC19" t="str">
        <f>IFERROR(INDEX(Magánszemély!AC:AC,MATCH(Táblázat4[[#This Row],[IKTATÓ]],Magánszemély!U:U,0)),IFERROR(INDEX('Jogi személy'!AD:AD,MATCH(Táblázat4[[#This Row],[IKTATÓ]],'Jogi személy'!V:V,0)),""))</f>
        <v/>
      </c>
      <c r="AD19" t="str">
        <f>IFERROR(INDEX('Jogi személy'!I:I,MATCH(Táblázat4[[#This Row],[IKTATÓ]],'Jogi személy'!V:V,0)),"")</f>
        <v/>
      </c>
      <c r="AE19" t="str">
        <f>IFERROR(INDEX('Jogi személy'!J:J,MATCH(Táblázat4[[#This Row],[IKTATÓ]],'Jogi személy'!V:V,0)),"")</f>
        <v/>
      </c>
      <c r="AF19" t="str">
        <f>IFERROR(INDEX('Jogi személy'!K:K,MATCH(Táblázat4[[#This Row],[IKTATÓ]],'Jogi személy'!V:V,0)),"")</f>
        <v/>
      </c>
      <c r="AG19" t="str">
        <f>IFERROR(INDEX('Jogi személy'!L:L,MATCH(Táblázat4[[#This Row],[IKTATÓ]],'Jogi személy'!V:V,0)),"")</f>
        <v/>
      </c>
    </row>
    <row r="20" spans="1:33" x14ac:dyDescent="0.25">
      <c r="A20" t="str">
        <f>IFERROR(INDEX(Magánszemély!A:A,MATCH(Táblázat4[[#This Row],[IKTATÓ]],Magánszemély!U:U,0)),IFERROR(INDEX('Jogi személy'!A:A,MATCH(Táblázat4[[#This Row],[IKTATÓ]],'Jogi személy'!V:V,0)),""))</f>
        <v/>
      </c>
      <c r="B20" t="str">
        <f>IFERROR(INDEX(Magánszemély!B:B,MATCH(Táblázat4[[#This Row],[IKTATÓ]],Magánszemély!U:U,0)),IFERROR(INDEX('Jogi személy'!B:B,MATCH(Táblázat4[[#This Row],[IKTATÓ]],'Jogi személy'!V:V,0)),""))</f>
        <v/>
      </c>
      <c r="C20" t="str">
        <f>IFERROR(INDEX(Magánszemély!C:C,MATCH(Táblázat4[[#This Row],[IKTATÓ]],Magánszemély!U:U,0)),IFERROR(INDEX('Jogi személy'!C:C,MATCH(Táblázat4[[#This Row],[IKTATÓ]],'Jogi személy'!V:V,0)),""))</f>
        <v/>
      </c>
      <c r="D20" t="str">
        <f>IFERROR(INDEX(Magánszemély!D:D,MATCH(Táblázat4[[#This Row],[IKTATÓ]],Magánszemély!U:U,0)),IFERROR(INDEX('Jogi személy'!D:D,MATCH(Táblázat4[[#This Row],[IKTATÓ]],'Jogi személy'!V:V,0)),""))</f>
        <v/>
      </c>
      <c r="E20" t="str">
        <f>IFERROR(INDEX(Magánszemély!E:E,MATCH(Táblázat4[[#This Row],[IKTATÓ]],Magánszemély!U:U,0)),IFERROR(INDEX('Jogi személy'!E:E,MATCH(Táblázat4[[#This Row],[IKTATÓ]],'Jogi személy'!V:V,0)),""))</f>
        <v/>
      </c>
      <c r="F20" t="str">
        <f>IFERROR(INDEX(Magánszemély!F:F,MATCH(Táblázat4[[#This Row],[IKTATÓ]],Magánszemély!U:U,0)),IFERROR(INDEX('Jogi személy'!F:F,MATCH(Táblázat4[[#This Row],[IKTATÓ]],'Jogi személy'!V:V,0)),""))</f>
        <v/>
      </c>
      <c r="G20" t="str">
        <f>IFERROR(INDEX(Magánszemély!G:G,MATCH(Táblázat4[[#This Row],[IKTATÓ]],Magánszemély!U:U,0)),IFERROR(INDEX('Jogi személy'!G:G,MATCH(Táblázat4[[#This Row],[IKTATÓ]],'Jogi személy'!V:V,0)),""))</f>
        <v/>
      </c>
      <c r="H20" t="str">
        <f>IFERROR(INDEX(Magánszemély!H:H,MATCH(Táblázat4[[#This Row],[IKTATÓ]],Magánszemély!U:U,0)),IFERROR(INDEX('Jogi személy'!H:H,MATCH(Táblázat4[[#This Row],[IKTATÓ]],'Jogi személy'!V:V,0)),""))</f>
        <v/>
      </c>
      <c r="I20" t="str">
        <f>IFERROR(INDEX(Magánszemély!I:I,MATCH(Táblázat4[[#This Row],[IKTATÓ]],Magánszemély!U:U,0)),"")</f>
        <v/>
      </c>
      <c r="J20" t="str">
        <f>IFERROR(INDEX(Magánszemély!J:J,MATCH(Táblázat4[[#This Row],[IKTATÓ]],Magánszemély!U:U,0)),"")</f>
        <v/>
      </c>
      <c r="K20" t="str">
        <f>IFERROR(INDEX(Magánszemély!K:K,MATCH(Táblázat4[[#This Row],[IKTATÓ]],Magánszemély!U:U,0)),"")</f>
        <v/>
      </c>
      <c r="L20" t="str">
        <f>IFERROR(INDEX(Magánszemély!L:L,MATCH(Táblázat4[[#This Row],[IKTATÓ]],Magánszemély!U:U,0)),IFERROR(INDEX('Jogi személy'!M:M,MATCH(Táblázat4[[#This Row],[IKTATÓ]],'Jogi személy'!V:V,0)),""))</f>
        <v/>
      </c>
      <c r="M20" t="str">
        <f>IFERROR(INDEX(Magánszemély!M:M,MATCH(Táblázat4[[#This Row],[IKTATÓ]],Magánszemély!U:U,0)),IFERROR(INDEX('Jogi személy'!N:N,MATCH(Táblázat4[[#This Row],[IKTATÓ]],'Jogi személy'!V:V,0)),""))</f>
        <v/>
      </c>
      <c r="N20" t="str">
        <f>IFERROR(INDEX(Magánszemély!N:N,MATCH(Táblázat4[[#This Row],[IKTATÓ]],Magánszemély!U:U,0)),IFERROR(INDEX('Jogi személy'!O:O,MATCH(Táblázat4[[#This Row],[IKTATÓ]],'Jogi személy'!V:V,0)),""))</f>
        <v/>
      </c>
      <c r="O20" t="str">
        <f>IFERROR(INDEX(Magánszemély!O:O,MATCH(Táblázat4[[#This Row],[IKTATÓ]],Magánszemély!U:U,0)),IFERROR(INDEX('Jogi személy'!P:P,MATCH(Táblázat4[[#This Row],[IKTATÓ]],'Jogi személy'!V:V,0)),""))</f>
        <v/>
      </c>
      <c r="P20" t="str">
        <f>IFERROR(INDEX(Magánszemély!P:P,MATCH(Táblázat4[[#This Row],[IKTATÓ]],Magánszemély!U:U,0)),IFERROR(INDEX('Jogi személy'!Q:Q,MATCH(Táblázat4[[#This Row],[IKTATÓ]],'Jogi személy'!V:V,0)),""))</f>
        <v/>
      </c>
      <c r="Q20" t="str">
        <f>IFERROR(INDEX(Magánszemély!Q:Q,MATCH(Táblázat4[[#This Row],[IKTATÓ]],Magánszemély!U:U,0)),IFERROR(INDEX('Jogi személy'!R:R,MATCH(Táblázat4[[#This Row],[IKTATÓ]],'Jogi személy'!V:V,0)),""))</f>
        <v/>
      </c>
      <c r="R20" t="str">
        <f>IFERROR(INDEX(Magánszemély!R:R,MATCH(Táblázat4[[#This Row],[IKTATÓ]],Magánszemély!U:U,0)),IFERROR(INDEX('Jogi személy'!S:S,MATCH(Táblázat4[[#This Row],[IKTATÓ]],'Jogi személy'!V:V,0)),""))</f>
        <v/>
      </c>
      <c r="S20" t="str">
        <f>IFERROR(INDEX(Magánszemély!S:S,MATCH(Táblázat4[[#This Row],[IKTATÓ]],Magánszemély!U:U,0)),IFERROR(INDEX('Jogi személy'!T:T,MATCH(Táblázat4[[#This Row],[IKTATÓ]],'Jogi személy'!V:V,0)),""))</f>
        <v/>
      </c>
      <c r="T20" t="str">
        <f>IFERROR(INDEX(Magánszemély!T:T,MATCH(Táblázat4[[#This Row],[IKTATÓ]],Magánszemély!U:U,0)),IFERROR(INDEX('Jogi személy'!U:U,MATCH(Táblázat4[[#This Row],[IKTATÓ]],'Jogi személy'!V:V,0)),""))</f>
        <v/>
      </c>
      <c r="U20" s="35"/>
      <c r="V20" t="str">
        <f>IFERROR(INDEX(Magánszemély!V:V,MATCH(Táblázat4[[#This Row],[IKTATÓ]],Magánszemély!U:U,0)),IFERROR(INDEX('Jogi személy'!W:W,MATCH(Táblázat4[[#This Row],[IKTATÓ]],'Jogi személy'!V:V,0)),""))</f>
        <v/>
      </c>
      <c r="W20" t="str">
        <f>IFERROR(INDEX(Magánszemély!W:W,MATCH(Táblázat4[[#This Row],[IKTATÓ]],Magánszemély!U:U,0)),IFERROR(INDEX('Jogi személy'!X:X,MATCH(Táblázat4[[#This Row],[IKTATÓ]],'Jogi személy'!V:V,0)),""))</f>
        <v/>
      </c>
      <c r="X20" t="str">
        <f>IFERROR(INDEX(Magánszemély!X:X,MATCH(Táblázat4[[#This Row],[IKTATÓ]],Magánszemély!U:U,0)),IFERROR(INDEX('Jogi személy'!Y:Y,MATCH(Táblázat4[[#This Row],[IKTATÓ]],'Jogi személy'!V:V,0)),""))</f>
        <v/>
      </c>
      <c r="Y20" t="str">
        <f>IFERROR(INDEX(Magánszemély!Y:Y,MATCH(Táblázat4[[#This Row],[IKTATÓ]],Magánszemély!U:U,0)),IFERROR(INDEX('Jogi személy'!Z:Z,MATCH(Táblázat4[[#This Row],[IKTATÓ]],'Jogi személy'!V:V,0)),""))</f>
        <v/>
      </c>
      <c r="Z20" t="str">
        <f>IFERROR(INDEX(Magánszemély!Z:Z,MATCH(Táblázat4[[#This Row],[IKTATÓ]],Magánszemély!U:U,0)),IFERROR(INDEX('Jogi személy'!AA:AA,MATCH(Táblázat4[[#This Row],[IKTATÓ]],'Jogi személy'!V:V,0)),""))</f>
        <v/>
      </c>
      <c r="AA20" t="str">
        <f>IFERROR(INDEX(Magánszemély!AA:AA,MATCH(Táblázat4[[#This Row],[IKTATÓ]],Magánszemély!U:U,0)),IFERROR(INDEX('Jogi személy'!AB:AB,MATCH(Táblázat4[[#This Row],[IKTATÓ]],'Jogi személy'!V:V,0)),""))</f>
        <v/>
      </c>
      <c r="AB20" t="str">
        <f>IFERROR(INDEX(Magánszemély!AB:AB,MATCH(Táblázat4[[#This Row],[IKTATÓ]],Magánszemély!U:U,0)),IFERROR(INDEX('Jogi személy'!AC:AC,MATCH(Táblázat4[[#This Row],[IKTATÓ]],'Jogi személy'!V:V,0)),""))</f>
        <v/>
      </c>
      <c r="AC20" t="str">
        <f>IFERROR(INDEX(Magánszemély!AC:AC,MATCH(Táblázat4[[#This Row],[IKTATÓ]],Magánszemély!U:U,0)),IFERROR(INDEX('Jogi személy'!AD:AD,MATCH(Táblázat4[[#This Row],[IKTATÓ]],'Jogi személy'!V:V,0)),""))</f>
        <v/>
      </c>
      <c r="AD20" t="str">
        <f>IFERROR(INDEX('Jogi személy'!I:I,MATCH(Táblázat4[[#This Row],[IKTATÓ]],'Jogi személy'!V:V,0)),"")</f>
        <v/>
      </c>
      <c r="AE20" t="str">
        <f>IFERROR(INDEX('Jogi személy'!J:J,MATCH(Táblázat4[[#This Row],[IKTATÓ]],'Jogi személy'!V:V,0)),"")</f>
        <v/>
      </c>
      <c r="AF20" t="str">
        <f>IFERROR(INDEX('Jogi személy'!K:K,MATCH(Táblázat4[[#This Row],[IKTATÓ]],'Jogi személy'!V:V,0)),"")</f>
        <v/>
      </c>
      <c r="AG20" t="str">
        <f>IFERROR(INDEX('Jogi személy'!L:L,MATCH(Táblázat4[[#This Row],[IKTATÓ]],'Jogi személy'!V:V,0)),"")</f>
        <v/>
      </c>
    </row>
    <row r="21" spans="1:33" x14ac:dyDescent="0.25">
      <c r="A21" t="str">
        <f>IFERROR(INDEX(Magánszemély!A:A,MATCH(Táblázat4[[#This Row],[IKTATÓ]],Magánszemély!U:U,0)),IFERROR(INDEX('Jogi személy'!A:A,MATCH(Táblázat4[[#This Row],[IKTATÓ]],'Jogi személy'!V:V,0)),""))</f>
        <v/>
      </c>
      <c r="B21" t="str">
        <f>IFERROR(INDEX(Magánszemély!B:B,MATCH(Táblázat4[[#This Row],[IKTATÓ]],Magánszemély!U:U,0)),IFERROR(INDEX('Jogi személy'!B:B,MATCH(Táblázat4[[#This Row],[IKTATÓ]],'Jogi személy'!V:V,0)),""))</f>
        <v/>
      </c>
      <c r="C21" t="str">
        <f>IFERROR(INDEX(Magánszemély!C:C,MATCH(Táblázat4[[#This Row],[IKTATÓ]],Magánszemély!U:U,0)),IFERROR(INDEX('Jogi személy'!C:C,MATCH(Táblázat4[[#This Row],[IKTATÓ]],'Jogi személy'!V:V,0)),""))</f>
        <v/>
      </c>
      <c r="D21" t="str">
        <f>IFERROR(INDEX(Magánszemély!D:D,MATCH(Táblázat4[[#This Row],[IKTATÓ]],Magánszemély!U:U,0)),IFERROR(INDEX('Jogi személy'!D:D,MATCH(Táblázat4[[#This Row],[IKTATÓ]],'Jogi személy'!V:V,0)),""))</f>
        <v/>
      </c>
      <c r="E21" t="str">
        <f>IFERROR(INDEX(Magánszemély!E:E,MATCH(Táblázat4[[#This Row],[IKTATÓ]],Magánszemély!U:U,0)),IFERROR(INDEX('Jogi személy'!E:E,MATCH(Táblázat4[[#This Row],[IKTATÓ]],'Jogi személy'!V:V,0)),""))</f>
        <v/>
      </c>
      <c r="F21" t="str">
        <f>IFERROR(INDEX(Magánszemély!F:F,MATCH(Táblázat4[[#This Row],[IKTATÓ]],Magánszemély!U:U,0)),IFERROR(INDEX('Jogi személy'!F:F,MATCH(Táblázat4[[#This Row],[IKTATÓ]],'Jogi személy'!V:V,0)),""))</f>
        <v/>
      </c>
      <c r="G21" t="str">
        <f>IFERROR(INDEX(Magánszemély!G:G,MATCH(Táblázat4[[#This Row],[IKTATÓ]],Magánszemély!U:U,0)),IFERROR(INDEX('Jogi személy'!G:G,MATCH(Táblázat4[[#This Row],[IKTATÓ]],'Jogi személy'!V:V,0)),""))</f>
        <v/>
      </c>
      <c r="H21" t="str">
        <f>IFERROR(INDEX(Magánszemély!H:H,MATCH(Táblázat4[[#This Row],[IKTATÓ]],Magánszemély!U:U,0)),IFERROR(INDEX('Jogi személy'!H:H,MATCH(Táblázat4[[#This Row],[IKTATÓ]],'Jogi személy'!V:V,0)),""))</f>
        <v/>
      </c>
      <c r="I21" t="str">
        <f>IFERROR(INDEX(Magánszemély!I:I,MATCH(Táblázat4[[#This Row],[IKTATÓ]],Magánszemély!U:U,0)),"")</f>
        <v/>
      </c>
      <c r="J21" t="str">
        <f>IFERROR(INDEX(Magánszemély!J:J,MATCH(Táblázat4[[#This Row],[IKTATÓ]],Magánszemély!U:U,0)),"")</f>
        <v/>
      </c>
      <c r="K21" t="str">
        <f>IFERROR(INDEX(Magánszemély!K:K,MATCH(Táblázat4[[#This Row],[IKTATÓ]],Magánszemély!U:U,0)),"")</f>
        <v/>
      </c>
      <c r="L21" t="str">
        <f>IFERROR(INDEX(Magánszemély!L:L,MATCH(Táblázat4[[#This Row],[IKTATÓ]],Magánszemély!U:U,0)),IFERROR(INDEX('Jogi személy'!M:M,MATCH(Táblázat4[[#This Row],[IKTATÓ]],'Jogi személy'!V:V,0)),""))</f>
        <v/>
      </c>
      <c r="M21" t="str">
        <f>IFERROR(INDEX(Magánszemély!M:M,MATCH(Táblázat4[[#This Row],[IKTATÓ]],Magánszemély!U:U,0)),IFERROR(INDEX('Jogi személy'!N:N,MATCH(Táblázat4[[#This Row],[IKTATÓ]],'Jogi személy'!V:V,0)),""))</f>
        <v/>
      </c>
      <c r="N21" t="str">
        <f>IFERROR(INDEX(Magánszemély!N:N,MATCH(Táblázat4[[#This Row],[IKTATÓ]],Magánszemély!U:U,0)),IFERROR(INDEX('Jogi személy'!O:O,MATCH(Táblázat4[[#This Row],[IKTATÓ]],'Jogi személy'!V:V,0)),""))</f>
        <v/>
      </c>
      <c r="O21" t="str">
        <f>IFERROR(INDEX(Magánszemély!O:O,MATCH(Táblázat4[[#This Row],[IKTATÓ]],Magánszemély!U:U,0)),IFERROR(INDEX('Jogi személy'!P:P,MATCH(Táblázat4[[#This Row],[IKTATÓ]],'Jogi személy'!V:V,0)),""))</f>
        <v/>
      </c>
      <c r="P21" t="str">
        <f>IFERROR(INDEX(Magánszemély!P:P,MATCH(Táblázat4[[#This Row],[IKTATÓ]],Magánszemély!U:U,0)),IFERROR(INDEX('Jogi személy'!Q:Q,MATCH(Táblázat4[[#This Row],[IKTATÓ]],'Jogi személy'!V:V,0)),""))</f>
        <v/>
      </c>
      <c r="Q21" t="str">
        <f>IFERROR(INDEX(Magánszemély!Q:Q,MATCH(Táblázat4[[#This Row],[IKTATÓ]],Magánszemély!U:U,0)),IFERROR(INDEX('Jogi személy'!R:R,MATCH(Táblázat4[[#This Row],[IKTATÓ]],'Jogi személy'!V:V,0)),""))</f>
        <v/>
      </c>
      <c r="R21" t="str">
        <f>IFERROR(INDEX(Magánszemély!R:R,MATCH(Táblázat4[[#This Row],[IKTATÓ]],Magánszemély!U:U,0)),IFERROR(INDEX('Jogi személy'!S:S,MATCH(Táblázat4[[#This Row],[IKTATÓ]],'Jogi személy'!V:V,0)),""))</f>
        <v/>
      </c>
      <c r="S21" t="str">
        <f>IFERROR(INDEX(Magánszemély!S:S,MATCH(Táblázat4[[#This Row],[IKTATÓ]],Magánszemély!U:U,0)),IFERROR(INDEX('Jogi személy'!T:T,MATCH(Táblázat4[[#This Row],[IKTATÓ]],'Jogi személy'!V:V,0)),""))</f>
        <v/>
      </c>
      <c r="T21" t="str">
        <f>IFERROR(INDEX(Magánszemély!T:T,MATCH(Táblázat4[[#This Row],[IKTATÓ]],Magánszemély!U:U,0)),IFERROR(INDEX('Jogi személy'!U:U,MATCH(Táblázat4[[#This Row],[IKTATÓ]],'Jogi személy'!V:V,0)),""))</f>
        <v/>
      </c>
      <c r="U21" s="35"/>
      <c r="V21" t="str">
        <f>IFERROR(INDEX(Magánszemély!V:V,MATCH(Táblázat4[[#This Row],[IKTATÓ]],Magánszemély!U:U,0)),IFERROR(INDEX('Jogi személy'!W:W,MATCH(Táblázat4[[#This Row],[IKTATÓ]],'Jogi személy'!V:V,0)),""))</f>
        <v/>
      </c>
      <c r="W21" t="str">
        <f>IFERROR(INDEX(Magánszemély!W:W,MATCH(Táblázat4[[#This Row],[IKTATÓ]],Magánszemély!U:U,0)),IFERROR(INDEX('Jogi személy'!X:X,MATCH(Táblázat4[[#This Row],[IKTATÓ]],'Jogi személy'!V:V,0)),""))</f>
        <v/>
      </c>
      <c r="X21" t="str">
        <f>IFERROR(INDEX(Magánszemély!X:X,MATCH(Táblázat4[[#This Row],[IKTATÓ]],Magánszemély!U:U,0)),IFERROR(INDEX('Jogi személy'!Y:Y,MATCH(Táblázat4[[#This Row],[IKTATÓ]],'Jogi személy'!V:V,0)),""))</f>
        <v/>
      </c>
      <c r="Y21" t="str">
        <f>IFERROR(INDEX(Magánszemély!Y:Y,MATCH(Táblázat4[[#This Row],[IKTATÓ]],Magánszemély!U:U,0)),IFERROR(INDEX('Jogi személy'!Z:Z,MATCH(Táblázat4[[#This Row],[IKTATÓ]],'Jogi személy'!V:V,0)),""))</f>
        <v/>
      </c>
      <c r="Z21" t="str">
        <f>IFERROR(INDEX(Magánszemély!Z:Z,MATCH(Táblázat4[[#This Row],[IKTATÓ]],Magánszemély!U:U,0)),IFERROR(INDEX('Jogi személy'!AA:AA,MATCH(Táblázat4[[#This Row],[IKTATÓ]],'Jogi személy'!V:V,0)),""))</f>
        <v/>
      </c>
      <c r="AA21" t="str">
        <f>IFERROR(INDEX(Magánszemély!AA:AA,MATCH(Táblázat4[[#This Row],[IKTATÓ]],Magánszemély!U:U,0)),IFERROR(INDEX('Jogi személy'!AB:AB,MATCH(Táblázat4[[#This Row],[IKTATÓ]],'Jogi személy'!V:V,0)),""))</f>
        <v/>
      </c>
      <c r="AB21" t="str">
        <f>IFERROR(INDEX(Magánszemély!AB:AB,MATCH(Táblázat4[[#This Row],[IKTATÓ]],Magánszemély!U:U,0)),IFERROR(INDEX('Jogi személy'!AC:AC,MATCH(Táblázat4[[#This Row],[IKTATÓ]],'Jogi személy'!V:V,0)),""))</f>
        <v/>
      </c>
      <c r="AC21" t="str">
        <f>IFERROR(INDEX(Magánszemély!AC:AC,MATCH(Táblázat4[[#This Row],[IKTATÓ]],Magánszemély!U:U,0)),IFERROR(INDEX('Jogi személy'!AD:AD,MATCH(Táblázat4[[#This Row],[IKTATÓ]],'Jogi személy'!V:V,0)),""))</f>
        <v/>
      </c>
      <c r="AD21" t="str">
        <f>IFERROR(INDEX('Jogi személy'!I:I,MATCH(Táblázat4[[#This Row],[IKTATÓ]],'Jogi személy'!V:V,0)),"")</f>
        <v/>
      </c>
      <c r="AE21" t="str">
        <f>IFERROR(INDEX('Jogi személy'!J:J,MATCH(Táblázat4[[#This Row],[IKTATÓ]],'Jogi személy'!V:V,0)),"")</f>
        <v/>
      </c>
      <c r="AF21" t="str">
        <f>IFERROR(INDEX('Jogi személy'!K:K,MATCH(Táblázat4[[#This Row],[IKTATÓ]],'Jogi személy'!V:V,0)),"")</f>
        <v/>
      </c>
      <c r="AG21" t="str">
        <f>IFERROR(INDEX('Jogi személy'!L:L,MATCH(Táblázat4[[#This Row],[IKTATÓ]],'Jogi személy'!V:V,0)),"")</f>
        <v/>
      </c>
    </row>
    <row r="22" spans="1:33" x14ac:dyDescent="0.25">
      <c r="A22" t="str">
        <f>IFERROR(INDEX(Magánszemély!A:A,MATCH(Táblázat4[[#This Row],[IKTATÓ]],Magánszemély!U:U,0)),IFERROR(INDEX('Jogi személy'!A:A,MATCH(Táblázat4[[#This Row],[IKTATÓ]],'Jogi személy'!V:V,0)),""))</f>
        <v/>
      </c>
      <c r="B22" t="str">
        <f>IFERROR(INDEX(Magánszemély!B:B,MATCH(Táblázat4[[#This Row],[IKTATÓ]],Magánszemély!U:U,0)),IFERROR(INDEX('Jogi személy'!B:B,MATCH(Táblázat4[[#This Row],[IKTATÓ]],'Jogi személy'!V:V,0)),""))</f>
        <v/>
      </c>
      <c r="C22" t="str">
        <f>IFERROR(INDEX(Magánszemély!C:C,MATCH(Táblázat4[[#This Row],[IKTATÓ]],Magánszemély!U:U,0)),IFERROR(INDEX('Jogi személy'!C:C,MATCH(Táblázat4[[#This Row],[IKTATÓ]],'Jogi személy'!V:V,0)),""))</f>
        <v/>
      </c>
      <c r="D22" t="str">
        <f>IFERROR(INDEX(Magánszemély!D:D,MATCH(Táblázat4[[#This Row],[IKTATÓ]],Magánszemély!U:U,0)),IFERROR(INDEX('Jogi személy'!D:D,MATCH(Táblázat4[[#This Row],[IKTATÓ]],'Jogi személy'!V:V,0)),""))</f>
        <v/>
      </c>
      <c r="E22" t="str">
        <f>IFERROR(INDEX(Magánszemély!E:E,MATCH(Táblázat4[[#This Row],[IKTATÓ]],Magánszemély!U:U,0)),IFERROR(INDEX('Jogi személy'!E:E,MATCH(Táblázat4[[#This Row],[IKTATÓ]],'Jogi személy'!V:V,0)),""))</f>
        <v/>
      </c>
      <c r="F22" t="str">
        <f>IFERROR(INDEX(Magánszemély!F:F,MATCH(Táblázat4[[#This Row],[IKTATÓ]],Magánszemély!U:U,0)),IFERROR(INDEX('Jogi személy'!F:F,MATCH(Táblázat4[[#This Row],[IKTATÓ]],'Jogi személy'!V:V,0)),""))</f>
        <v/>
      </c>
      <c r="G22" t="str">
        <f>IFERROR(INDEX(Magánszemély!G:G,MATCH(Táblázat4[[#This Row],[IKTATÓ]],Magánszemély!U:U,0)),IFERROR(INDEX('Jogi személy'!G:G,MATCH(Táblázat4[[#This Row],[IKTATÓ]],'Jogi személy'!V:V,0)),""))</f>
        <v/>
      </c>
      <c r="H22" t="str">
        <f>IFERROR(INDEX(Magánszemély!H:H,MATCH(Táblázat4[[#This Row],[IKTATÓ]],Magánszemély!U:U,0)),IFERROR(INDEX('Jogi személy'!H:H,MATCH(Táblázat4[[#This Row],[IKTATÓ]],'Jogi személy'!V:V,0)),""))</f>
        <v/>
      </c>
      <c r="I22" t="str">
        <f>IFERROR(INDEX(Magánszemély!I:I,MATCH(Táblázat4[[#This Row],[IKTATÓ]],Magánszemély!U:U,0)),"")</f>
        <v/>
      </c>
      <c r="J22" t="str">
        <f>IFERROR(INDEX(Magánszemély!J:J,MATCH(Táblázat4[[#This Row],[IKTATÓ]],Magánszemély!U:U,0)),"")</f>
        <v/>
      </c>
      <c r="K22" t="str">
        <f>IFERROR(INDEX(Magánszemély!K:K,MATCH(Táblázat4[[#This Row],[IKTATÓ]],Magánszemély!U:U,0)),"")</f>
        <v/>
      </c>
      <c r="L22" t="str">
        <f>IFERROR(INDEX(Magánszemély!L:L,MATCH(Táblázat4[[#This Row],[IKTATÓ]],Magánszemély!U:U,0)),IFERROR(INDEX('Jogi személy'!M:M,MATCH(Táblázat4[[#This Row],[IKTATÓ]],'Jogi személy'!V:V,0)),""))</f>
        <v/>
      </c>
      <c r="M22" t="str">
        <f>IFERROR(INDEX(Magánszemély!M:M,MATCH(Táblázat4[[#This Row],[IKTATÓ]],Magánszemély!U:U,0)),IFERROR(INDEX('Jogi személy'!N:N,MATCH(Táblázat4[[#This Row],[IKTATÓ]],'Jogi személy'!V:V,0)),""))</f>
        <v/>
      </c>
      <c r="N22" t="str">
        <f>IFERROR(INDEX(Magánszemély!N:N,MATCH(Táblázat4[[#This Row],[IKTATÓ]],Magánszemély!U:U,0)),IFERROR(INDEX('Jogi személy'!O:O,MATCH(Táblázat4[[#This Row],[IKTATÓ]],'Jogi személy'!V:V,0)),""))</f>
        <v/>
      </c>
      <c r="O22" t="str">
        <f>IFERROR(INDEX(Magánszemély!O:O,MATCH(Táblázat4[[#This Row],[IKTATÓ]],Magánszemély!U:U,0)),IFERROR(INDEX('Jogi személy'!P:P,MATCH(Táblázat4[[#This Row],[IKTATÓ]],'Jogi személy'!V:V,0)),""))</f>
        <v/>
      </c>
      <c r="P22" t="str">
        <f>IFERROR(INDEX(Magánszemély!P:P,MATCH(Táblázat4[[#This Row],[IKTATÓ]],Magánszemély!U:U,0)),IFERROR(INDEX('Jogi személy'!Q:Q,MATCH(Táblázat4[[#This Row],[IKTATÓ]],'Jogi személy'!V:V,0)),""))</f>
        <v/>
      </c>
      <c r="Q22" t="str">
        <f>IFERROR(INDEX(Magánszemély!Q:Q,MATCH(Táblázat4[[#This Row],[IKTATÓ]],Magánszemély!U:U,0)),IFERROR(INDEX('Jogi személy'!R:R,MATCH(Táblázat4[[#This Row],[IKTATÓ]],'Jogi személy'!V:V,0)),""))</f>
        <v/>
      </c>
      <c r="R22" t="str">
        <f>IFERROR(INDEX(Magánszemély!R:R,MATCH(Táblázat4[[#This Row],[IKTATÓ]],Magánszemély!U:U,0)),IFERROR(INDEX('Jogi személy'!S:S,MATCH(Táblázat4[[#This Row],[IKTATÓ]],'Jogi személy'!V:V,0)),""))</f>
        <v/>
      </c>
      <c r="S22" t="str">
        <f>IFERROR(INDEX(Magánszemély!S:S,MATCH(Táblázat4[[#This Row],[IKTATÓ]],Magánszemély!U:U,0)),IFERROR(INDEX('Jogi személy'!T:T,MATCH(Táblázat4[[#This Row],[IKTATÓ]],'Jogi személy'!V:V,0)),""))</f>
        <v/>
      </c>
      <c r="T22" t="str">
        <f>IFERROR(INDEX(Magánszemély!T:T,MATCH(Táblázat4[[#This Row],[IKTATÓ]],Magánszemély!U:U,0)),IFERROR(INDEX('Jogi személy'!U:U,MATCH(Táblázat4[[#This Row],[IKTATÓ]],'Jogi személy'!V:V,0)),""))</f>
        <v/>
      </c>
      <c r="U22" s="35"/>
      <c r="V22" t="str">
        <f>IFERROR(INDEX(Magánszemély!V:V,MATCH(Táblázat4[[#This Row],[IKTATÓ]],Magánszemély!U:U,0)),IFERROR(INDEX('Jogi személy'!W:W,MATCH(Táblázat4[[#This Row],[IKTATÓ]],'Jogi személy'!V:V,0)),""))</f>
        <v/>
      </c>
      <c r="W22" t="str">
        <f>IFERROR(INDEX(Magánszemély!W:W,MATCH(Táblázat4[[#This Row],[IKTATÓ]],Magánszemély!U:U,0)),IFERROR(INDEX('Jogi személy'!X:X,MATCH(Táblázat4[[#This Row],[IKTATÓ]],'Jogi személy'!V:V,0)),""))</f>
        <v/>
      </c>
      <c r="X22" t="str">
        <f>IFERROR(INDEX(Magánszemély!X:X,MATCH(Táblázat4[[#This Row],[IKTATÓ]],Magánszemély!U:U,0)),IFERROR(INDEX('Jogi személy'!Y:Y,MATCH(Táblázat4[[#This Row],[IKTATÓ]],'Jogi személy'!V:V,0)),""))</f>
        <v/>
      </c>
      <c r="Y22" t="str">
        <f>IFERROR(INDEX(Magánszemély!Y:Y,MATCH(Táblázat4[[#This Row],[IKTATÓ]],Magánszemély!U:U,0)),IFERROR(INDEX('Jogi személy'!Z:Z,MATCH(Táblázat4[[#This Row],[IKTATÓ]],'Jogi személy'!V:V,0)),""))</f>
        <v/>
      </c>
      <c r="Z22" t="str">
        <f>IFERROR(INDEX(Magánszemély!Z:Z,MATCH(Táblázat4[[#This Row],[IKTATÓ]],Magánszemély!U:U,0)),IFERROR(INDEX('Jogi személy'!AA:AA,MATCH(Táblázat4[[#This Row],[IKTATÓ]],'Jogi személy'!V:V,0)),""))</f>
        <v/>
      </c>
      <c r="AA22" t="str">
        <f>IFERROR(INDEX(Magánszemély!AA:AA,MATCH(Táblázat4[[#This Row],[IKTATÓ]],Magánszemély!U:U,0)),IFERROR(INDEX('Jogi személy'!AB:AB,MATCH(Táblázat4[[#This Row],[IKTATÓ]],'Jogi személy'!V:V,0)),""))</f>
        <v/>
      </c>
      <c r="AB22" t="str">
        <f>IFERROR(INDEX(Magánszemély!AB:AB,MATCH(Táblázat4[[#This Row],[IKTATÓ]],Magánszemély!U:U,0)),IFERROR(INDEX('Jogi személy'!AC:AC,MATCH(Táblázat4[[#This Row],[IKTATÓ]],'Jogi személy'!V:V,0)),""))</f>
        <v/>
      </c>
      <c r="AC22" t="str">
        <f>IFERROR(INDEX(Magánszemély!AC:AC,MATCH(Táblázat4[[#This Row],[IKTATÓ]],Magánszemély!U:U,0)),IFERROR(INDEX('Jogi személy'!AD:AD,MATCH(Táblázat4[[#This Row],[IKTATÓ]],'Jogi személy'!V:V,0)),""))</f>
        <v/>
      </c>
      <c r="AD22" t="str">
        <f>IFERROR(INDEX('Jogi személy'!I:I,MATCH(Táblázat4[[#This Row],[IKTATÓ]],'Jogi személy'!V:V,0)),"")</f>
        <v/>
      </c>
      <c r="AE22" t="str">
        <f>IFERROR(INDEX('Jogi személy'!J:J,MATCH(Táblázat4[[#This Row],[IKTATÓ]],'Jogi személy'!V:V,0)),"")</f>
        <v/>
      </c>
      <c r="AF22" t="str">
        <f>IFERROR(INDEX('Jogi személy'!K:K,MATCH(Táblázat4[[#This Row],[IKTATÓ]],'Jogi személy'!V:V,0)),"")</f>
        <v/>
      </c>
      <c r="AG22" t="str">
        <f>IFERROR(INDEX('Jogi személy'!L:L,MATCH(Táblázat4[[#This Row],[IKTATÓ]],'Jogi személy'!V:V,0)),"")</f>
        <v/>
      </c>
    </row>
    <row r="23" spans="1:33" x14ac:dyDescent="0.25">
      <c r="A23" t="str">
        <f>IFERROR(INDEX(Magánszemély!A:A,MATCH(Táblázat4[[#This Row],[IKTATÓ]],Magánszemély!U:U,0)),IFERROR(INDEX('Jogi személy'!A:A,MATCH(Táblázat4[[#This Row],[IKTATÓ]],'Jogi személy'!V:V,0)),""))</f>
        <v/>
      </c>
      <c r="B23" t="str">
        <f>IFERROR(INDEX(Magánszemély!B:B,MATCH(Táblázat4[[#This Row],[IKTATÓ]],Magánszemély!U:U,0)),IFERROR(INDEX('Jogi személy'!B:B,MATCH(Táblázat4[[#This Row],[IKTATÓ]],'Jogi személy'!V:V,0)),""))</f>
        <v/>
      </c>
      <c r="C23" t="str">
        <f>IFERROR(INDEX(Magánszemély!C:C,MATCH(Táblázat4[[#This Row],[IKTATÓ]],Magánszemély!U:U,0)),IFERROR(INDEX('Jogi személy'!C:C,MATCH(Táblázat4[[#This Row],[IKTATÓ]],'Jogi személy'!V:V,0)),""))</f>
        <v/>
      </c>
      <c r="D23" t="str">
        <f>IFERROR(INDEX(Magánszemély!D:D,MATCH(Táblázat4[[#This Row],[IKTATÓ]],Magánszemély!U:U,0)),IFERROR(INDEX('Jogi személy'!D:D,MATCH(Táblázat4[[#This Row],[IKTATÓ]],'Jogi személy'!V:V,0)),""))</f>
        <v/>
      </c>
      <c r="E23" t="str">
        <f>IFERROR(INDEX(Magánszemély!E:E,MATCH(Táblázat4[[#This Row],[IKTATÓ]],Magánszemély!U:U,0)),IFERROR(INDEX('Jogi személy'!E:E,MATCH(Táblázat4[[#This Row],[IKTATÓ]],'Jogi személy'!V:V,0)),""))</f>
        <v/>
      </c>
      <c r="F23" t="str">
        <f>IFERROR(INDEX(Magánszemély!F:F,MATCH(Táblázat4[[#This Row],[IKTATÓ]],Magánszemély!U:U,0)),IFERROR(INDEX('Jogi személy'!F:F,MATCH(Táblázat4[[#This Row],[IKTATÓ]],'Jogi személy'!V:V,0)),""))</f>
        <v/>
      </c>
      <c r="G23" t="str">
        <f>IFERROR(INDEX(Magánszemély!G:G,MATCH(Táblázat4[[#This Row],[IKTATÓ]],Magánszemély!U:U,0)),IFERROR(INDEX('Jogi személy'!G:G,MATCH(Táblázat4[[#This Row],[IKTATÓ]],'Jogi személy'!V:V,0)),""))</f>
        <v/>
      </c>
      <c r="H23" t="str">
        <f>IFERROR(INDEX(Magánszemély!H:H,MATCH(Táblázat4[[#This Row],[IKTATÓ]],Magánszemély!U:U,0)),IFERROR(INDEX('Jogi személy'!H:H,MATCH(Táblázat4[[#This Row],[IKTATÓ]],'Jogi személy'!V:V,0)),""))</f>
        <v/>
      </c>
      <c r="I23" t="str">
        <f>IFERROR(INDEX(Magánszemély!I:I,MATCH(Táblázat4[[#This Row],[IKTATÓ]],Magánszemély!U:U,0)),"")</f>
        <v/>
      </c>
      <c r="J23" t="str">
        <f>IFERROR(INDEX(Magánszemély!J:J,MATCH(Táblázat4[[#This Row],[IKTATÓ]],Magánszemély!U:U,0)),"")</f>
        <v/>
      </c>
      <c r="K23" t="str">
        <f>IFERROR(INDEX(Magánszemély!K:K,MATCH(Táblázat4[[#This Row],[IKTATÓ]],Magánszemély!U:U,0)),"")</f>
        <v/>
      </c>
      <c r="L23" t="str">
        <f>IFERROR(INDEX(Magánszemély!L:L,MATCH(Táblázat4[[#This Row],[IKTATÓ]],Magánszemély!U:U,0)),IFERROR(INDEX('Jogi személy'!M:M,MATCH(Táblázat4[[#This Row],[IKTATÓ]],'Jogi személy'!V:V,0)),""))</f>
        <v/>
      </c>
      <c r="M23" t="str">
        <f>IFERROR(INDEX(Magánszemély!M:M,MATCH(Táblázat4[[#This Row],[IKTATÓ]],Magánszemély!U:U,0)),IFERROR(INDEX('Jogi személy'!N:N,MATCH(Táblázat4[[#This Row],[IKTATÓ]],'Jogi személy'!V:V,0)),""))</f>
        <v/>
      </c>
      <c r="N23" t="str">
        <f>IFERROR(INDEX(Magánszemély!N:N,MATCH(Táblázat4[[#This Row],[IKTATÓ]],Magánszemély!U:U,0)),IFERROR(INDEX('Jogi személy'!O:O,MATCH(Táblázat4[[#This Row],[IKTATÓ]],'Jogi személy'!V:V,0)),""))</f>
        <v/>
      </c>
      <c r="O23" t="str">
        <f>IFERROR(INDEX(Magánszemély!O:O,MATCH(Táblázat4[[#This Row],[IKTATÓ]],Magánszemély!U:U,0)),IFERROR(INDEX('Jogi személy'!P:P,MATCH(Táblázat4[[#This Row],[IKTATÓ]],'Jogi személy'!V:V,0)),""))</f>
        <v/>
      </c>
      <c r="P23" t="str">
        <f>IFERROR(INDEX(Magánszemély!P:P,MATCH(Táblázat4[[#This Row],[IKTATÓ]],Magánszemély!U:U,0)),IFERROR(INDEX('Jogi személy'!Q:Q,MATCH(Táblázat4[[#This Row],[IKTATÓ]],'Jogi személy'!V:V,0)),""))</f>
        <v/>
      </c>
      <c r="Q23" t="str">
        <f>IFERROR(INDEX(Magánszemély!Q:Q,MATCH(Táblázat4[[#This Row],[IKTATÓ]],Magánszemély!U:U,0)),IFERROR(INDEX('Jogi személy'!R:R,MATCH(Táblázat4[[#This Row],[IKTATÓ]],'Jogi személy'!V:V,0)),""))</f>
        <v/>
      </c>
      <c r="R23" t="str">
        <f>IFERROR(INDEX(Magánszemély!R:R,MATCH(Táblázat4[[#This Row],[IKTATÓ]],Magánszemély!U:U,0)),IFERROR(INDEX('Jogi személy'!S:S,MATCH(Táblázat4[[#This Row],[IKTATÓ]],'Jogi személy'!V:V,0)),""))</f>
        <v/>
      </c>
      <c r="S23" t="str">
        <f>IFERROR(INDEX(Magánszemély!S:S,MATCH(Táblázat4[[#This Row],[IKTATÓ]],Magánszemély!U:U,0)),IFERROR(INDEX('Jogi személy'!T:T,MATCH(Táblázat4[[#This Row],[IKTATÓ]],'Jogi személy'!V:V,0)),""))</f>
        <v/>
      </c>
      <c r="T23" t="str">
        <f>IFERROR(INDEX(Magánszemély!T:T,MATCH(Táblázat4[[#This Row],[IKTATÓ]],Magánszemély!U:U,0)),IFERROR(INDEX('Jogi személy'!U:U,MATCH(Táblázat4[[#This Row],[IKTATÓ]],'Jogi személy'!V:V,0)),""))</f>
        <v/>
      </c>
      <c r="U23" s="35"/>
      <c r="V23" t="str">
        <f>IFERROR(INDEX(Magánszemély!V:V,MATCH(Táblázat4[[#This Row],[IKTATÓ]],Magánszemély!U:U,0)),IFERROR(INDEX('Jogi személy'!W:W,MATCH(Táblázat4[[#This Row],[IKTATÓ]],'Jogi személy'!V:V,0)),""))</f>
        <v/>
      </c>
      <c r="W23" t="str">
        <f>IFERROR(INDEX(Magánszemély!W:W,MATCH(Táblázat4[[#This Row],[IKTATÓ]],Magánszemély!U:U,0)),IFERROR(INDEX('Jogi személy'!X:X,MATCH(Táblázat4[[#This Row],[IKTATÓ]],'Jogi személy'!V:V,0)),""))</f>
        <v/>
      </c>
      <c r="X23" t="str">
        <f>IFERROR(INDEX(Magánszemély!X:X,MATCH(Táblázat4[[#This Row],[IKTATÓ]],Magánszemély!U:U,0)),IFERROR(INDEX('Jogi személy'!Y:Y,MATCH(Táblázat4[[#This Row],[IKTATÓ]],'Jogi személy'!V:V,0)),""))</f>
        <v/>
      </c>
      <c r="Y23" t="str">
        <f>IFERROR(INDEX(Magánszemély!Y:Y,MATCH(Táblázat4[[#This Row],[IKTATÓ]],Magánszemély!U:U,0)),IFERROR(INDEX('Jogi személy'!Z:Z,MATCH(Táblázat4[[#This Row],[IKTATÓ]],'Jogi személy'!V:V,0)),""))</f>
        <v/>
      </c>
      <c r="Z23" t="str">
        <f>IFERROR(INDEX(Magánszemély!Z:Z,MATCH(Táblázat4[[#This Row],[IKTATÓ]],Magánszemély!U:U,0)),IFERROR(INDEX('Jogi személy'!AA:AA,MATCH(Táblázat4[[#This Row],[IKTATÓ]],'Jogi személy'!V:V,0)),""))</f>
        <v/>
      </c>
      <c r="AA23" t="str">
        <f>IFERROR(INDEX(Magánszemély!AA:AA,MATCH(Táblázat4[[#This Row],[IKTATÓ]],Magánszemély!U:U,0)),IFERROR(INDEX('Jogi személy'!AB:AB,MATCH(Táblázat4[[#This Row],[IKTATÓ]],'Jogi személy'!V:V,0)),""))</f>
        <v/>
      </c>
      <c r="AB23" t="str">
        <f>IFERROR(INDEX(Magánszemély!AB:AB,MATCH(Táblázat4[[#This Row],[IKTATÓ]],Magánszemély!U:U,0)),IFERROR(INDEX('Jogi személy'!AC:AC,MATCH(Táblázat4[[#This Row],[IKTATÓ]],'Jogi személy'!V:V,0)),""))</f>
        <v/>
      </c>
      <c r="AC23" t="str">
        <f>IFERROR(INDEX(Magánszemély!AC:AC,MATCH(Táblázat4[[#This Row],[IKTATÓ]],Magánszemély!U:U,0)),IFERROR(INDEX('Jogi személy'!AD:AD,MATCH(Táblázat4[[#This Row],[IKTATÓ]],'Jogi személy'!V:V,0)),""))</f>
        <v/>
      </c>
      <c r="AD23" t="str">
        <f>IFERROR(INDEX('Jogi személy'!I:I,MATCH(Táblázat4[[#This Row],[IKTATÓ]],'Jogi személy'!V:V,0)),"")</f>
        <v/>
      </c>
      <c r="AE23" t="str">
        <f>IFERROR(INDEX('Jogi személy'!J:J,MATCH(Táblázat4[[#This Row],[IKTATÓ]],'Jogi személy'!V:V,0)),"")</f>
        <v/>
      </c>
      <c r="AF23" t="str">
        <f>IFERROR(INDEX('Jogi személy'!K:K,MATCH(Táblázat4[[#This Row],[IKTATÓ]],'Jogi személy'!V:V,0)),"")</f>
        <v/>
      </c>
      <c r="AG23" t="str">
        <f>IFERROR(INDEX('Jogi személy'!L:L,MATCH(Táblázat4[[#This Row],[IKTATÓ]],'Jogi személy'!V:V,0)),"")</f>
        <v/>
      </c>
    </row>
    <row r="24" spans="1:33" x14ac:dyDescent="0.25">
      <c r="A24" t="str">
        <f>IFERROR(INDEX(Magánszemély!A:A,MATCH(Táblázat4[[#This Row],[IKTATÓ]],Magánszemély!U:U,0)),IFERROR(INDEX('Jogi személy'!A:A,MATCH(Táblázat4[[#This Row],[IKTATÓ]],'Jogi személy'!V:V,0)),""))</f>
        <v/>
      </c>
      <c r="B24" t="str">
        <f>IFERROR(INDEX(Magánszemély!B:B,MATCH(Táblázat4[[#This Row],[IKTATÓ]],Magánszemély!U:U,0)),IFERROR(INDEX('Jogi személy'!B:B,MATCH(Táblázat4[[#This Row],[IKTATÓ]],'Jogi személy'!V:V,0)),""))</f>
        <v/>
      </c>
      <c r="C24" t="str">
        <f>IFERROR(INDEX(Magánszemély!C:C,MATCH(Táblázat4[[#This Row],[IKTATÓ]],Magánszemély!U:U,0)),IFERROR(INDEX('Jogi személy'!C:C,MATCH(Táblázat4[[#This Row],[IKTATÓ]],'Jogi személy'!V:V,0)),""))</f>
        <v/>
      </c>
      <c r="D24" t="str">
        <f>IFERROR(INDEX(Magánszemély!D:D,MATCH(Táblázat4[[#This Row],[IKTATÓ]],Magánszemély!U:U,0)),IFERROR(INDEX('Jogi személy'!D:D,MATCH(Táblázat4[[#This Row],[IKTATÓ]],'Jogi személy'!V:V,0)),""))</f>
        <v/>
      </c>
      <c r="E24" t="str">
        <f>IFERROR(INDEX(Magánszemély!E:E,MATCH(Táblázat4[[#This Row],[IKTATÓ]],Magánszemély!U:U,0)),IFERROR(INDEX('Jogi személy'!E:E,MATCH(Táblázat4[[#This Row],[IKTATÓ]],'Jogi személy'!V:V,0)),""))</f>
        <v/>
      </c>
      <c r="F24" t="str">
        <f>IFERROR(INDEX(Magánszemély!F:F,MATCH(Táblázat4[[#This Row],[IKTATÓ]],Magánszemély!U:U,0)),IFERROR(INDEX('Jogi személy'!F:F,MATCH(Táblázat4[[#This Row],[IKTATÓ]],'Jogi személy'!V:V,0)),""))</f>
        <v/>
      </c>
      <c r="G24" t="str">
        <f>IFERROR(INDEX(Magánszemély!G:G,MATCH(Táblázat4[[#This Row],[IKTATÓ]],Magánszemély!U:U,0)),IFERROR(INDEX('Jogi személy'!G:G,MATCH(Táblázat4[[#This Row],[IKTATÓ]],'Jogi személy'!V:V,0)),""))</f>
        <v/>
      </c>
      <c r="H24" t="str">
        <f>IFERROR(INDEX(Magánszemély!H:H,MATCH(Táblázat4[[#This Row],[IKTATÓ]],Magánszemély!U:U,0)),IFERROR(INDEX('Jogi személy'!H:H,MATCH(Táblázat4[[#This Row],[IKTATÓ]],'Jogi személy'!V:V,0)),""))</f>
        <v/>
      </c>
      <c r="I24" t="str">
        <f>IFERROR(INDEX(Magánszemély!I:I,MATCH(Táblázat4[[#This Row],[IKTATÓ]],Magánszemély!U:U,0)),"")</f>
        <v/>
      </c>
      <c r="J24" t="str">
        <f>IFERROR(INDEX(Magánszemély!J:J,MATCH(Táblázat4[[#This Row],[IKTATÓ]],Magánszemély!U:U,0)),"")</f>
        <v/>
      </c>
      <c r="K24" t="str">
        <f>IFERROR(INDEX(Magánszemély!K:K,MATCH(Táblázat4[[#This Row],[IKTATÓ]],Magánszemély!U:U,0)),"")</f>
        <v/>
      </c>
      <c r="L24" t="str">
        <f>IFERROR(INDEX(Magánszemély!L:L,MATCH(Táblázat4[[#This Row],[IKTATÓ]],Magánszemély!U:U,0)),IFERROR(INDEX('Jogi személy'!M:M,MATCH(Táblázat4[[#This Row],[IKTATÓ]],'Jogi személy'!V:V,0)),""))</f>
        <v/>
      </c>
      <c r="M24" t="str">
        <f>IFERROR(INDEX(Magánszemély!M:M,MATCH(Táblázat4[[#This Row],[IKTATÓ]],Magánszemély!U:U,0)),IFERROR(INDEX('Jogi személy'!N:N,MATCH(Táblázat4[[#This Row],[IKTATÓ]],'Jogi személy'!V:V,0)),""))</f>
        <v/>
      </c>
      <c r="N24" t="str">
        <f>IFERROR(INDEX(Magánszemély!N:N,MATCH(Táblázat4[[#This Row],[IKTATÓ]],Magánszemély!U:U,0)),IFERROR(INDEX('Jogi személy'!O:O,MATCH(Táblázat4[[#This Row],[IKTATÓ]],'Jogi személy'!V:V,0)),""))</f>
        <v/>
      </c>
      <c r="O24" t="str">
        <f>IFERROR(INDEX(Magánszemély!O:O,MATCH(Táblázat4[[#This Row],[IKTATÓ]],Magánszemély!U:U,0)),IFERROR(INDEX('Jogi személy'!P:P,MATCH(Táblázat4[[#This Row],[IKTATÓ]],'Jogi személy'!V:V,0)),""))</f>
        <v/>
      </c>
      <c r="P24" t="str">
        <f>IFERROR(INDEX(Magánszemély!P:P,MATCH(Táblázat4[[#This Row],[IKTATÓ]],Magánszemély!U:U,0)),IFERROR(INDEX('Jogi személy'!Q:Q,MATCH(Táblázat4[[#This Row],[IKTATÓ]],'Jogi személy'!V:V,0)),""))</f>
        <v/>
      </c>
      <c r="Q24" t="str">
        <f>IFERROR(INDEX(Magánszemély!Q:Q,MATCH(Táblázat4[[#This Row],[IKTATÓ]],Magánszemély!U:U,0)),IFERROR(INDEX('Jogi személy'!R:R,MATCH(Táblázat4[[#This Row],[IKTATÓ]],'Jogi személy'!V:V,0)),""))</f>
        <v/>
      </c>
      <c r="R24" t="str">
        <f>IFERROR(INDEX(Magánszemély!R:R,MATCH(Táblázat4[[#This Row],[IKTATÓ]],Magánszemély!U:U,0)),IFERROR(INDEX('Jogi személy'!S:S,MATCH(Táblázat4[[#This Row],[IKTATÓ]],'Jogi személy'!V:V,0)),""))</f>
        <v/>
      </c>
      <c r="S24" t="str">
        <f>IFERROR(INDEX(Magánszemély!S:S,MATCH(Táblázat4[[#This Row],[IKTATÓ]],Magánszemély!U:U,0)),IFERROR(INDEX('Jogi személy'!T:T,MATCH(Táblázat4[[#This Row],[IKTATÓ]],'Jogi személy'!V:V,0)),""))</f>
        <v/>
      </c>
      <c r="T24" t="str">
        <f>IFERROR(INDEX(Magánszemély!T:T,MATCH(Táblázat4[[#This Row],[IKTATÓ]],Magánszemély!U:U,0)),IFERROR(INDEX('Jogi személy'!U:U,MATCH(Táblázat4[[#This Row],[IKTATÓ]],'Jogi személy'!V:V,0)),""))</f>
        <v/>
      </c>
      <c r="U24" s="35"/>
      <c r="V24" t="str">
        <f>IFERROR(INDEX(Magánszemély!V:V,MATCH(Táblázat4[[#This Row],[IKTATÓ]],Magánszemély!U:U,0)),IFERROR(INDEX('Jogi személy'!W:W,MATCH(Táblázat4[[#This Row],[IKTATÓ]],'Jogi személy'!V:V,0)),""))</f>
        <v/>
      </c>
      <c r="W24" t="str">
        <f>IFERROR(INDEX(Magánszemély!W:W,MATCH(Táblázat4[[#This Row],[IKTATÓ]],Magánszemély!U:U,0)),IFERROR(INDEX('Jogi személy'!X:X,MATCH(Táblázat4[[#This Row],[IKTATÓ]],'Jogi személy'!V:V,0)),""))</f>
        <v/>
      </c>
      <c r="X24" t="str">
        <f>IFERROR(INDEX(Magánszemély!X:X,MATCH(Táblázat4[[#This Row],[IKTATÓ]],Magánszemély!U:U,0)),IFERROR(INDEX('Jogi személy'!Y:Y,MATCH(Táblázat4[[#This Row],[IKTATÓ]],'Jogi személy'!V:V,0)),""))</f>
        <v/>
      </c>
      <c r="Y24" t="str">
        <f>IFERROR(INDEX(Magánszemély!Y:Y,MATCH(Táblázat4[[#This Row],[IKTATÓ]],Magánszemély!U:U,0)),IFERROR(INDEX('Jogi személy'!Z:Z,MATCH(Táblázat4[[#This Row],[IKTATÓ]],'Jogi személy'!V:V,0)),""))</f>
        <v/>
      </c>
      <c r="Z24" t="str">
        <f>IFERROR(INDEX(Magánszemély!Z:Z,MATCH(Táblázat4[[#This Row],[IKTATÓ]],Magánszemély!U:U,0)),IFERROR(INDEX('Jogi személy'!AA:AA,MATCH(Táblázat4[[#This Row],[IKTATÓ]],'Jogi személy'!V:V,0)),""))</f>
        <v/>
      </c>
      <c r="AA24" t="str">
        <f>IFERROR(INDEX(Magánszemély!AA:AA,MATCH(Táblázat4[[#This Row],[IKTATÓ]],Magánszemély!U:U,0)),IFERROR(INDEX('Jogi személy'!AB:AB,MATCH(Táblázat4[[#This Row],[IKTATÓ]],'Jogi személy'!V:V,0)),""))</f>
        <v/>
      </c>
      <c r="AB24" t="str">
        <f>IFERROR(INDEX(Magánszemély!AB:AB,MATCH(Táblázat4[[#This Row],[IKTATÓ]],Magánszemély!U:U,0)),IFERROR(INDEX('Jogi személy'!AC:AC,MATCH(Táblázat4[[#This Row],[IKTATÓ]],'Jogi személy'!V:V,0)),""))</f>
        <v/>
      </c>
      <c r="AC24" t="str">
        <f>IFERROR(INDEX(Magánszemély!AC:AC,MATCH(Táblázat4[[#This Row],[IKTATÓ]],Magánszemély!U:U,0)),IFERROR(INDEX('Jogi személy'!AD:AD,MATCH(Táblázat4[[#This Row],[IKTATÓ]],'Jogi személy'!V:V,0)),""))</f>
        <v/>
      </c>
      <c r="AD24" t="str">
        <f>IFERROR(INDEX('Jogi személy'!I:I,MATCH(Táblázat4[[#This Row],[IKTATÓ]],'Jogi személy'!V:V,0)),"")</f>
        <v/>
      </c>
      <c r="AE24" t="str">
        <f>IFERROR(INDEX('Jogi személy'!J:J,MATCH(Táblázat4[[#This Row],[IKTATÓ]],'Jogi személy'!V:V,0)),"")</f>
        <v/>
      </c>
      <c r="AF24" t="str">
        <f>IFERROR(INDEX('Jogi személy'!K:K,MATCH(Táblázat4[[#This Row],[IKTATÓ]],'Jogi személy'!V:V,0)),"")</f>
        <v/>
      </c>
      <c r="AG24" t="str">
        <f>IFERROR(INDEX('Jogi személy'!L:L,MATCH(Táblázat4[[#This Row],[IKTATÓ]],'Jogi személy'!V:V,0)),"")</f>
        <v/>
      </c>
    </row>
    <row r="25" spans="1:33" x14ac:dyDescent="0.25">
      <c r="A25" t="str">
        <f>IFERROR(INDEX(Magánszemély!A:A,MATCH(Táblázat4[[#This Row],[IKTATÓ]],Magánszemély!U:U,0)),IFERROR(INDEX('Jogi személy'!A:A,MATCH(Táblázat4[[#This Row],[IKTATÓ]],'Jogi személy'!V:V,0)),""))</f>
        <v/>
      </c>
      <c r="B25" t="str">
        <f>IFERROR(INDEX(Magánszemély!B:B,MATCH(Táblázat4[[#This Row],[IKTATÓ]],Magánszemély!U:U,0)),IFERROR(INDEX('Jogi személy'!B:B,MATCH(Táblázat4[[#This Row],[IKTATÓ]],'Jogi személy'!V:V,0)),""))</f>
        <v/>
      </c>
      <c r="C25" t="str">
        <f>IFERROR(INDEX(Magánszemély!C:C,MATCH(Táblázat4[[#This Row],[IKTATÓ]],Magánszemély!U:U,0)),IFERROR(INDEX('Jogi személy'!C:C,MATCH(Táblázat4[[#This Row],[IKTATÓ]],'Jogi személy'!V:V,0)),""))</f>
        <v/>
      </c>
      <c r="D25" t="str">
        <f>IFERROR(INDEX(Magánszemély!D:D,MATCH(Táblázat4[[#This Row],[IKTATÓ]],Magánszemély!U:U,0)),IFERROR(INDEX('Jogi személy'!D:D,MATCH(Táblázat4[[#This Row],[IKTATÓ]],'Jogi személy'!V:V,0)),""))</f>
        <v/>
      </c>
      <c r="E25" t="str">
        <f>IFERROR(INDEX(Magánszemély!E:E,MATCH(Táblázat4[[#This Row],[IKTATÓ]],Magánszemély!U:U,0)),IFERROR(INDEX('Jogi személy'!E:E,MATCH(Táblázat4[[#This Row],[IKTATÓ]],'Jogi személy'!V:V,0)),""))</f>
        <v/>
      </c>
      <c r="F25" t="str">
        <f>IFERROR(INDEX(Magánszemély!F:F,MATCH(Táblázat4[[#This Row],[IKTATÓ]],Magánszemély!U:U,0)),IFERROR(INDEX('Jogi személy'!F:F,MATCH(Táblázat4[[#This Row],[IKTATÓ]],'Jogi személy'!V:V,0)),""))</f>
        <v/>
      </c>
      <c r="G25" t="str">
        <f>IFERROR(INDEX(Magánszemély!G:G,MATCH(Táblázat4[[#This Row],[IKTATÓ]],Magánszemély!U:U,0)),IFERROR(INDEX('Jogi személy'!G:G,MATCH(Táblázat4[[#This Row],[IKTATÓ]],'Jogi személy'!V:V,0)),""))</f>
        <v/>
      </c>
      <c r="H25" t="str">
        <f>IFERROR(INDEX(Magánszemély!H:H,MATCH(Táblázat4[[#This Row],[IKTATÓ]],Magánszemély!U:U,0)),IFERROR(INDEX('Jogi személy'!H:H,MATCH(Táblázat4[[#This Row],[IKTATÓ]],'Jogi személy'!V:V,0)),""))</f>
        <v/>
      </c>
      <c r="I25" t="str">
        <f>IFERROR(INDEX(Magánszemély!I:I,MATCH(Táblázat4[[#This Row],[IKTATÓ]],Magánszemély!U:U,0)),"")</f>
        <v/>
      </c>
      <c r="J25" t="str">
        <f>IFERROR(INDEX(Magánszemély!J:J,MATCH(Táblázat4[[#This Row],[IKTATÓ]],Magánszemély!U:U,0)),"")</f>
        <v/>
      </c>
      <c r="K25" t="str">
        <f>IFERROR(INDEX(Magánszemély!K:K,MATCH(Táblázat4[[#This Row],[IKTATÓ]],Magánszemély!U:U,0)),"")</f>
        <v/>
      </c>
      <c r="L25" t="str">
        <f>IFERROR(INDEX(Magánszemély!L:L,MATCH(Táblázat4[[#This Row],[IKTATÓ]],Magánszemély!U:U,0)),IFERROR(INDEX('Jogi személy'!M:M,MATCH(Táblázat4[[#This Row],[IKTATÓ]],'Jogi személy'!V:V,0)),""))</f>
        <v/>
      </c>
      <c r="M25" t="str">
        <f>IFERROR(INDEX(Magánszemély!M:M,MATCH(Táblázat4[[#This Row],[IKTATÓ]],Magánszemély!U:U,0)),IFERROR(INDEX('Jogi személy'!N:N,MATCH(Táblázat4[[#This Row],[IKTATÓ]],'Jogi személy'!V:V,0)),""))</f>
        <v/>
      </c>
      <c r="N25" t="str">
        <f>IFERROR(INDEX(Magánszemély!N:N,MATCH(Táblázat4[[#This Row],[IKTATÓ]],Magánszemély!U:U,0)),IFERROR(INDEX('Jogi személy'!O:O,MATCH(Táblázat4[[#This Row],[IKTATÓ]],'Jogi személy'!V:V,0)),""))</f>
        <v/>
      </c>
      <c r="O25" t="str">
        <f>IFERROR(INDEX(Magánszemély!O:O,MATCH(Táblázat4[[#This Row],[IKTATÓ]],Magánszemély!U:U,0)),IFERROR(INDEX('Jogi személy'!P:P,MATCH(Táblázat4[[#This Row],[IKTATÓ]],'Jogi személy'!V:V,0)),""))</f>
        <v/>
      </c>
      <c r="P25" t="str">
        <f>IFERROR(INDEX(Magánszemély!P:P,MATCH(Táblázat4[[#This Row],[IKTATÓ]],Magánszemély!U:U,0)),IFERROR(INDEX('Jogi személy'!Q:Q,MATCH(Táblázat4[[#This Row],[IKTATÓ]],'Jogi személy'!V:V,0)),""))</f>
        <v/>
      </c>
      <c r="Q25" t="str">
        <f>IFERROR(INDEX(Magánszemély!Q:Q,MATCH(Táblázat4[[#This Row],[IKTATÓ]],Magánszemély!U:U,0)),IFERROR(INDEX('Jogi személy'!R:R,MATCH(Táblázat4[[#This Row],[IKTATÓ]],'Jogi személy'!V:V,0)),""))</f>
        <v/>
      </c>
      <c r="R25" t="str">
        <f>IFERROR(INDEX(Magánszemély!R:R,MATCH(Táblázat4[[#This Row],[IKTATÓ]],Magánszemély!U:U,0)),IFERROR(INDEX('Jogi személy'!S:S,MATCH(Táblázat4[[#This Row],[IKTATÓ]],'Jogi személy'!V:V,0)),""))</f>
        <v/>
      </c>
      <c r="S25" t="str">
        <f>IFERROR(INDEX(Magánszemély!S:S,MATCH(Táblázat4[[#This Row],[IKTATÓ]],Magánszemély!U:U,0)),IFERROR(INDEX('Jogi személy'!T:T,MATCH(Táblázat4[[#This Row],[IKTATÓ]],'Jogi személy'!V:V,0)),""))</f>
        <v/>
      </c>
      <c r="T25" t="str">
        <f>IFERROR(INDEX(Magánszemély!T:T,MATCH(Táblázat4[[#This Row],[IKTATÓ]],Magánszemély!U:U,0)),IFERROR(INDEX('Jogi személy'!U:U,MATCH(Táblázat4[[#This Row],[IKTATÓ]],'Jogi személy'!V:V,0)),""))</f>
        <v/>
      </c>
      <c r="U25" s="35"/>
      <c r="V25" t="str">
        <f>IFERROR(INDEX(Magánszemély!V:V,MATCH(Táblázat4[[#This Row],[IKTATÓ]],Magánszemély!U:U,0)),IFERROR(INDEX('Jogi személy'!W:W,MATCH(Táblázat4[[#This Row],[IKTATÓ]],'Jogi személy'!V:V,0)),""))</f>
        <v/>
      </c>
      <c r="W25" t="str">
        <f>IFERROR(INDEX(Magánszemély!W:W,MATCH(Táblázat4[[#This Row],[IKTATÓ]],Magánszemély!U:U,0)),IFERROR(INDEX('Jogi személy'!X:X,MATCH(Táblázat4[[#This Row],[IKTATÓ]],'Jogi személy'!V:V,0)),""))</f>
        <v/>
      </c>
      <c r="X25" t="str">
        <f>IFERROR(INDEX(Magánszemély!X:X,MATCH(Táblázat4[[#This Row],[IKTATÓ]],Magánszemély!U:U,0)),IFERROR(INDEX('Jogi személy'!Y:Y,MATCH(Táblázat4[[#This Row],[IKTATÓ]],'Jogi személy'!V:V,0)),""))</f>
        <v/>
      </c>
      <c r="Y25" t="str">
        <f>IFERROR(INDEX(Magánszemély!Y:Y,MATCH(Táblázat4[[#This Row],[IKTATÓ]],Magánszemély!U:U,0)),IFERROR(INDEX('Jogi személy'!Z:Z,MATCH(Táblázat4[[#This Row],[IKTATÓ]],'Jogi személy'!V:V,0)),""))</f>
        <v/>
      </c>
      <c r="Z25" t="str">
        <f>IFERROR(INDEX(Magánszemély!Z:Z,MATCH(Táblázat4[[#This Row],[IKTATÓ]],Magánszemély!U:U,0)),IFERROR(INDEX('Jogi személy'!AA:AA,MATCH(Táblázat4[[#This Row],[IKTATÓ]],'Jogi személy'!V:V,0)),""))</f>
        <v/>
      </c>
      <c r="AA25" t="str">
        <f>IFERROR(INDEX(Magánszemély!AA:AA,MATCH(Táblázat4[[#This Row],[IKTATÓ]],Magánszemély!U:U,0)),IFERROR(INDEX('Jogi személy'!AB:AB,MATCH(Táblázat4[[#This Row],[IKTATÓ]],'Jogi személy'!V:V,0)),""))</f>
        <v/>
      </c>
      <c r="AB25" t="str">
        <f>IFERROR(INDEX(Magánszemély!AB:AB,MATCH(Táblázat4[[#This Row],[IKTATÓ]],Magánszemély!U:U,0)),IFERROR(INDEX('Jogi személy'!AC:AC,MATCH(Táblázat4[[#This Row],[IKTATÓ]],'Jogi személy'!V:V,0)),""))</f>
        <v/>
      </c>
      <c r="AC25" t="str">
        <f>IFERROR(INDEX(Magánszemély!AC:AC,MATCH(Táblázat4[[#This Row],[IKTATÓ]],Magánszemély!U:U,0)),IFERROR(INDEX('Jogi személy'!AD:AD,MATCH(Táblázat4[[#This Row],[IKTATÓ]],'Jogi személy'!V:V,0)),""))</f>
        <v/>
      </c>
      <c r="AD25" t="str">
        <f>IFERROR(INDEX('Jogi személy'!I:I,MATCH(Táblázat4[[#This Row],[IKTATÓ]],'Jogi személy'!V:V,0)),"")</f>
        <v/>
      </c>
      <c r="AE25" t="str">
        <f>IFERROR(INDEX('Jogi személy'!J:J,MATCH(Táblázat4[[#This Row],[IKTATÓ]],'Jogi személy'!V:V,0)),"")</f>
        <v/>
      </c>
      <c r="AF25" t="str">
        <f>IFERROR(INDEX('Jogi személy'!K:K,MATCH(Táblázat4[[#This Row],[IKTATÓ]],'Jogi személy'!V:V,0)),"")</f>
        <v/>
      </c>
      <c r="AG25" t="str">
        <f>IFERROR(INDEX('Jogi személy'!L:L,MATCH(Táblázat4[[#This Row],[IKTATÓ]],'Jogi személy'!V:V,0)),"")</f>
        <v/>
      </c>
    </row>
    <row r="26" spans="1:33" x14ac:dyDescent="0.25">
      <c r="A26" t="str">
        <f>IFERROR(INDEX(Magánszemély!A:A,MATCH(Táblázat4[[#This Row],[IKTATÓ]],Magánszemély!U:U,0)),IFERROR(INDEX('Jogi személy'!A:A,MATCH(Táblázat4[[#This Row],[IKTATÓ]],'Jogi személy'!V:V,0)),""))</f>
        <v/>
      </c>
      <c r="B26" t="str">
        <f>IFERROR(INDEX(Magánszemély!B:B,MATCH(Táblázat4[[#This Row],[IKTATÓ]],Magánszemély!U:U,0)),IFERROR(INDEX('Jogi személy'!B:B,MATCH(Táblázat4[[#This Row],[IKTATÓ]],'Jogi személy'!V:V,0)),""))</f>
        <v/>
      </c>
      <c r="C26" t="str">
        <f>IFERROR(INDEX(Magánszemély!C:C,MATCH(Táblázat4[[#This Row],[IKTATÓ]],Magánszemély!U:U,0)),IFERROR(INDEX('Jogi személy'!C:C,MATCH(Táblázat4[[#This Row],[IKTATÓ]],'Jogi személy'!V:V,0)),""))</f>
        <v/>
      </c>
      <c r="D26" t="str">
        <f>IFERROR(INDEX(Magánszemély!D:D,MATCH(Táblázat4[[#This Row],[IKTATÓ]],Magánszemély!U:U,0)),IFERROR(INDEX('Jogi személy'!D:D,MATCH(Táblázat4[[#This Row],[IKTATÓ]],'Jogi személy'!V:V,0)),""))</f>
        <v/>
      </c>
      <c r="E26" t="str">
        <f>IFERROR(INDEX(Magánszemély!E:E,MATCH(Táblázat4[[#This Row],[IKTATÓ]],Magánszemély!U:U,0)),IFERROR(INDEX('Jogi személy'!E:E,MATCH(Táblázat4[[#This Row],[IKTATÓ]],'Jogi személy'!V:V,0)),""))</f>
        <v/>
      </c>
      <c r="F26" t="str">
        <f>IFERROR(INDEX(Magánszemély!F:F,MATCH(Táblázat4[[#This Row],[IKTATÓ]],Magánszemély!U:U,0)),IFERROR(INDEX('Jogi személy'!F:F,MATCH(Táblázat4[[#This Row],[IKTATÓ]],'Jogi személy'!V:V,0)),""))</f>
        <v/>
      </c>
      <c r="G26" t="str">
        <f>IFERROR(INDEX(Magánszemély!G:G,MATCH(Táblázat4[[#This Row],[IKTATÓ]],Magánszemély!U:U,0)),IFERROR(INDEX('Jogi személy'!G:G,MATCH(Táblázat4[[#This Row],[IKTATÓ]],'Jogi személy'!V:V,0)),""))</f>
        <v/>
      </c>
      <c r="H26" t="str">
        <f>IFERROR(INDEX(Magánszemély!H:H,MATCH(Táblázat4[[#This Row],[IKTATÓ]],Magánszemély!U:U,0)),IFERROR(INDEX('Jogi személy'!H:H,MATCH(Táblázat4[[#This Row],[IKTATÓ]],'Jogi személy'!V:V,0)),""))</f>
        <v/>
      </c>
      <c r="I26" t="str">
        <f>IFERROR(INDEX(Magánszemély!I:I,MATCH(Táblázat4[[#This Row],[IKTATÓ]],Magánszemély!U:U,0)),"")</f>
        <v/>
      </c>
      <c r="J26" t="str">
        <f>IFERROR(INDEX(Magánszemély!J:J,MATCH(Táblázat4[[#This Row],[IKTATÓ]],Magánszemély!U:U,0)),"")</f>
        <v/>
      </c>
      <c r="K26" t="str">
        <f>IFERROR(INDEX(Magánszemély!K:K,MATCH(Táblázat4[[#This Row],[IKTATÓ]],Magánszemély!U:U,0)),"")</f>
        <v/>
      </c>
      <c r="L26" t="str">
        <f>IFERROR(INDEX(Magánszemély!L:L,MATCH(Táblázat4[[#This Row],[IKTATÓ]],Magánszemély!U:U,0)),IFERROR(INDEX('Jogi személy'!M:M,MATCH(Táblázat4[[#This Row],[IKTATÓ]],'Jogi személy'!V:V,0)),""))</f>
        <v/>
      </c>
      <c r="M26" t="str">
        <f>IFERROR(INDEX(Magánszemély!M:M,MATCH(Táblázat4[[#This Row],[IKTATÓ]],Magánszemély!U:U,0)),IFERROR(INDEX('Jogi személy'!N:N,MATCH(Táblázat4[[#This Row],[IKTATÓ]],'Jogi személy'!V:V,0)),""))</f>
        <v/>
      </c>
      <c r="N26" t="str">
        <f>IFERROR(INDEX(Magánszemély!N:N,MATCH(Táblázat4[[#This Row],[IKTATÓ]],Magánszemély!U:U,0)),IFERROR(INDEX('Jogi személy'!O:O,MATCH(Táblázat4[[#This Row],[IKTATÓ]],'Jogi személy'!V:V,0)),""))</f>
        <v/>
      </c>
      <c r="O26" t="str">
        <f>IFERROR(INDEX(Magánszemély!O:O,MATCH(Táblázat4[[#This Row],[IKTATÓ]],Magánszemély!U:U,0)),IFERROR(INDEX('Jogi személy'!P:P,MATCH(Táblázat4[[#This Row],[IKTATÓ]],'Jogi személy'!V:V,0)),""))</f>
        <v/>
      </c>
      <c r="P26" t="str">
        <f>IFERROR(INDEX(Magánszemély!P:P,MATCH(Táblázat4[[#This Row],[IKTATÓ]],Magánszemély!U:U,0)),IFERROR(INDEX('Jogi személy'!Q:Q,MATCH(Táblázat4[[#This Row],[IKTATÓ]],'Jogi személy'!V:V,0)),""))</f>
        <v/>
      </c>
      <c r="Q26" t="str">
        <f>IFERROR(INDEX(Magánszemély!Q:Q,MATCH(Táblázat4[[#This Row],[IKTATÓ]],Magánszemély!U:U,0)),IFERROR(INDEX('Jogi személy'!R:R,MATCH(Táblázat4[[#This Row],[IKTATÓ]],'Jogi személy'!V:V,0)),""))</f>
        <v/>
      </c>
      <c r="R26" t="str">
        <f>IFERROR(INDEX(Magánszemély!R:R,MATCH(Táblázat4[[#This Row],[IKTATÓ]],Magánszemély!U:U,0)),IFERROR(INDEX('Jogi személy'!S:S,MATCH(Táblázat4[[#This Row],[IKTATÓ]],'Jogi személy'!V:V,0)),""))</f>
        <v/>
      </c>
      <c r="S26" t="str">
        <f>IFERROR(INDEX(Magánszemély!S:S,MATCH(Táblázat4[[#This Row],[IKTATÓ]],Magánszemély!U:U,0)),IFERROR(INDEX('Jogi személy'!T:T,MATCH(Táblázat4[[#This Row],[IKTATÓ]],'Jogi személy'!V:V,0)),""))</f>
        <v/>
      </c>
      <c r="T26" t="str">
        <f>IFERROR(INDEX(Magánszemély!T:T,MATCH(Táblázat4[[#This Row],[IKTATÓ]],Magánszemély!U:U,0)),IFERROR(INDEX('Jogi személy'!U:U,MATCH(Táblázat4[[#This Row],[IKTATÓ]],'Jogi személy'!V:V,0)),""))</f>
        <v/>
      </c>
      <c r="V26" t="str">
        <f>IFERROR(INDEX(Magánszemély!V:V,MATCH(Táblázat4[[#This Row],[IKTATÓ]],Magánszemély!U:U,0)),IFERROR(INDEX('Jogi személy'!W:W,MATCH(Táblázat4[[#This Row],[IKTATÓ]],'Jogi személy'!V:V,0)),""))</f>
        <v/>
      </c>
      <c r="W26" t="str">
        <f>IFERROR(INDEX(Magánszemély!W:W,MATCH(Táblázat4[[#This Row],[IKTATÓ]],Magánszemély!U:U,0)),IFERROR(INDEX('Jogi személy'!X:X,MATCH(Táblázat4[[#This Row],[IKTATÓ]],'Jogi személy'!V:V,0)),""))</f>
        <v/>
      </c>
      <c r="X26" t="str">
        <f>IFERROR(INDEX(Magánszemély!X:X,MATCH(Táblázat4[[#This Row],[IKTATÓ]],Magánszemély!U:U,0)),IFERROR(INDEX('Jogi személy'!Y:Y,MATCH(Táblázat4[[#This Row],[IKTATÓ]],'Jogi személy'!V:V,0)),""))</f>
        <v/>
      </c>
      <c r="Y26" t="str">
        <f>IFERROR(INDEX(Magánszemély!Y:Y,MATCH(Táblázat4[[#This Row],[IKTATÓ]],Magánszemély!U:U,0)),IFERROR(INDEX('Jogi személy'!Z:Z,MATCH(Táblázat4[[#This Row],[IKTATÓ]],'Jogi személy'!V:V,0)),""))</f>
        <v/>
      </c>
      <c r="Z26" t="str">
        <f>IFERROR(INDEX(Magánszemély!Z:Z,MATCH(Táblázat4[[#This Row],[IKTATÓ]],Magánszemély!U:U,0)),IFERROR(INDEX('Jogi személy'!AA:AA,MATCH(Táblázat4[[#This Row],[IKTATÓ]],'Jogi személy'!V:V,0)),""))</f>
        <v/>
      </c>
      <c r="AA26" t="str">
        <f>IFERROR(INDEX(Magánszemély!AA:AA,MATCH(Táblázat4[[#This Row],[IKTATÓ]],Magánszemély!U:U,0)),IFERROR(INDEX('Jogi személy'!AB:AB,MATCH(Táblázat4[[#This Row],[IKTATÓ]],'Jogi személy'!V:V,0)),""))</f>
        <v/>
      </c>
      <c r="AB26" t="str">
        <f>IFERROR(INDEX(Magánszemély!AB:AB,MATCH(Táblázat4[[#This Row],[IKTATÓ]],Magánszemély!U:U,0)),IFERROR(INDEX('Jogi személy'!AC:AC,MATCH(Táblázat4[[#This Row],[IKTATÓ]],'Jogi személy'!V:V,0)),""))</f>
        <v/>
      </c>
      <c r="AC26" t="str">
        <f>IFERROR(INDEX(Magánszemély!AC:AC,MATCH(Táblázat4[[#This Row],[IKTATÓ]],Magánszemély!U:U,0)),IFERROR(INDEX('Jogi személy'!AD:AD,MATCH(Táblázat4[[#This Row],[IKTATÓ]],'Jogi személy'!V:V,0)),""))</f>
        <v/>
      </c>
      <c r="AD26" t="str">
        <f>IFERROR(INDEX('Jogi személy'!I:I,MATCH(Táblázat4[[#This Row],[IKTATÓ]],'Jogi személy'!V:V,0)),"")</f>
        <v/>
      </c>
      <c r="AE26" t="str">
        <f>IFERROR(INDEX('Jogi személy'!J:J,MATCH(Táblázat4[[#This Row],[IKTATÓ]],'Jogi személy'!V:V,0)),"")</f>
        <v/>
      </c>
      <c r="AF26" t="str">
        <f>IFERROR(INDEX('Jogi személy'!K:K,MATCH(Táblázat4[[#This Row],[IKTATÓ]],'Jogi személy'!V:V,0)),"")</f>
        <v/>
      </c>
      <c r="AG26" t="str">
        <f>IFERROR(INDEX('Jogi személy'!L:L,MATCH(Táblázat4[[#This Row],[IKTATÓ]],'Jogi személy'!V:V,0)),"")</f>
        <v/>
      </c>
    </row>
    <row r="27" spans="1:33" x14ac:dyDescent="0.25">
      <c r="A27" t="str">
        <f>IFERROR(INDEX(Magánszemély!A:A,MATCH(Táblázat4[[#This Row],[IKTATÓ]],Magánszemély!U:U,0)),IFERROR(INDEX('Jogi személy'!A:A,MATCH(Táblázat4[[#This Row],[IKTATÓ]],'Jogi személy'!V:V,0)),""))</f>
        <v/>
      </c>
      <c r="B27" t="str">
        <f>IFERROR(INDEX(Magánszemély!B:B,MATCH(Táblázat4[[#This Row],[IKTATÓ]],Magánszemély!U:U,0)),IFERROR(INDEX('Jogi személy'!B:B,MATCH(Táblázat4[[#This Row],[IKTATÓ]],'Jogi személy'!V:V,0)),""))</f>
        <v/>
      </c>
      <c r="C27" t="str">
        <f>IFERROR(INDEX(Magánszemély!C:C,MATCH(Táblázat4[[#This Row],[IKTATÓ]],Magánszemély!U:U,0)),IFERROR(INDEX('Jogi személy'!C:C,MATCH(Táblázat4[[#This Row],[IKTATÓ]],'Jogi személy'!V:V,0)),""))</f>
        <v/>
      </c>
      <c r="D27" t="str">
        <f>IFERROR(INDEX(Magánszemély!D:D,MATCH(Táblázat4[[#This Row],[IKTATÓ]],Magánszemély!U:U,0)),IFERROR(INDEX('Jogi személy'!D:D,MATCH(Táblázat4[[#This Row],[IKTATÓ]],'Jogi személy'!V:V,0)),""))</f>
        <v/>
      </c>
      <c r="E27" t="str">
        <f>IFERROR(INDEX(Magánszemély!E:E,MATCH(Táblázat4[[#This Row],[IKTATÓ]],Magánszemély!U:U,0)),IFERROR(INDEX('Jogi személy'!E:E,MATCH(Táblázat4[[#This Row],[IKTATÓ]],'Jogi személy'!V:V,0)),""))</f>
        <v/>
      </c>
      <c r="F27" t="str">
        <f>IFERROR(INDEX(Magánszemély!F:F,MATCH(Táblázat4[[#This Row],[IKTATÓ]],Magánszemély!U:U,0)),IFERROR(INDEX('Jogi személy'!F:F,MATCH(Táblázat4[[#This Row],[IKTATÓ]],'Jogi személy'!V:V,0)),""))</f>
        <v/>
      </c>
      <c r="G27" t="str">
        <f>IFERROR(INDEX(Magánszemély!G:G,MATCH(Táblázat4[[#This Row],[IKTATÓ]],Magánszemély!U:U,0)),IFERROR(INDEX('Jogi személy'!G:G,MATCH(Táblázat4[[#This Row],[IKTATÓ]],'Jogi személy'!V:V,0)),""))</f>
        <v/>
      </c>
      <c r="H27" t="str">
        <f>IFERROR(INDEX(Magánszemély!H:H,MATCH(Táblázat4[[#This Row],[IKTATÓ]],Magánszemély!U:U,0)),IFERROR(INDEX('Jogi személy'!H:H,MATCH(Táblázat4[[#This Row],[IKTATÓ]],'Jogi személy'!V:V,0)),""))</f>
        <v/>
      </c>
      <c r="I27" t="str">
        <f>IFERROR(INDEX(Magánszemély!I:I,MATCH(Táblázat4[[#This Row],[IKTATÓ]],Magánszemély!U:U,0)),"")</f>
        <v/>
      </c>
      <c r="J27" t="str">
        <f>IFERROR(INDEX(Magánszemély!J:J,MATCH(Táblázat4[[#This Row],[IKTATÓ]],Magánszemély!U:U,0)),"")</f>
        <v/>
      </c>
      <c r="K27" t="str">
        <f>IFERROR(INDEX(Magánszemély!K:K,MATCH(Táblázat4[[#This Row],[IKTATÓ]],Magánszemély!U:U,0)),"")</f>
        <v/>
      </c>
      <c r="L27" t="str">
        <f>IFERROR(INDEX(Magánszemély!L:L,MATCH(Táblázat4[[#This Row],[IKTATÓ]],Magánszemély!U:U,0)),IFERROR(INDEX('Jogi személy'!M:M,MATCH(Táblázat4[[#This Row],[IKTATÓ]],'Jogi személy'!V:V,0)),""))</f>
        <v/>
      </c>
      <c r="M27" t="str">
        <f>IFERROR(INDEX(Magánszemély!M:M,MATCH(Táblázat4[[#This Row],[IKTATÓ]],Magánszemély!U:U,0)),IFERROR(INDEX('Jogi személy'!N:N,MATCH(Táblázat4[[#This Row],[IKTATÓ]],'Jogi személy'!V:V,0)),""))</f>
        <v/>
      </c>
      <c r="N27" t="str">
        <f>IFERROR(INDEX(Magánszemély!N:N,MATCH(Táblázat4[[#This Row],[IKTATÓ]],Magánszemély!U:U,0)),IFERROR(INDEX('Jogi személy'!O:O,MATCH(Táblázat4[[#This Row],[IKTATÓ]],'Jogi személy'!V:V,0)),""))</f>
        <v/>
      </c>
      <c r="O27" t="str">
        <f>IFERROR(INDEX(Magánszemély!O:O,MATCH(Táblázat4[[#This Row],[IKTATÓ]],Magánszemély!U:U,0)),IFERROR(INDEX('Jogi személy'!P:P,MATCH(Táblázat4[[#This Row],[IKTATÓ]],'Jogi személy'!V:V,0)),""))</f>
        <v/>
      </c>
      <c r="P27" t="str">
        <f>IFERROR(INDEX(Magánszemély!P:P,MATCH(Táblázat4[[#This Row],[IKTATÓ]],Magánszemély!U:U,0)),IFERROR(INDEX('Jogi személy'!Q:Q,MATCH(Táblázat4[[#This Row],[IKTATÓ]],'Jogi személy'!V:V,0)),""))</f>
        <v/>
      </c>
      <c r="Q27" t="str">
        <f>IFERROR(INDEX(Magánszemély!Q:Q,MATCH(Táblázat4[[#This Row],[IKTATÓ]],Magánszemély!U:U,0)),IFERROR(INDEX('Jogi személy'!R:R,MATCH(Táblázat4[[#This Row],[IKTATÓ]],'Jogi személy'!V:V,0)),""))</f>
        <v/>
      </c>
      <c r="R27" t="str">
        <f>IFERROR(INDEX(Magánszemély!R:R,MATCH(Táblázat4[[#This Row],[IKTATÓ]],Magánszemély!U:U,0)),IFERROR(INDEX('Jogi személy'!S:S,MATCH(Táblázat4[[#This Row],[IKTATÓ]],'Jogi személy'!V:V,0)),""))</f>
        <v/>
      </c>
      <c r="S27" t="str">
        <f>IFERROR(INDEX(Magánszemély!S:S,MATCH(Táblázat4[[#This Row],[IKTATÓ]],Magánszemély!U:U,0)),IFERROR(INDEX('Jogi személy'!T:T,MATCH(Táblázat4[[#This Row],[IKTATÓ]],'Jogi személy'!V:V,0)),""))</f>
        <v/>
      </c>
      <c r="T27" t="str">
        <f>IFERROR(INDEX(Magánszemély!T:T,MATCH(Táblázat4[[#This Row],[IKTATÓ]],Magánszemély!U:U,0)),IFERROR(INDEX('Jogi személy'!U:U,MATCH(Táblázat4[[#This Row],[IKTATÓ]],'Jogi személy'!V:V,0)),""))</f>
        <v/>
      </c>
      <c r="U27" s="35"/>
      <c r="V27" t="str">
        <f>IFERROR(INDEX(Magánszemély!V:V,MATCH(Táblázat4[[#This Row],[IKTATÓ]],Magánszemély!U:U,0)),IFERROR(INDEX('Jogi személy'!W:W,MATCH(Táblázat4[[#This Row],[IKTATÓ]],'Jogi személy'!V:V,0)),""))</f>
        <v/>
      </c>
      <c r="W27" t="str">
        <f>IFERROR(INDEX(Magánszemély!W:W,MATCH(Táblázat4[[#This Row],[IKTATÓ]],Magánszemély!U:U,0)),IFERROR(INDEX('Jogi személy'!X:X,MATCH(Táblázat4[[#This Row],[IKTATÓ]],'Jogi személy'!V:V,0)),""))</f>
        <v/>
      </c>
      <c r="X27" t="str">
        <f>IFERROR(INDEX(Magánszemély!X:X,MATCH(Táblázat4[[#This Row],[IKTATÓ]],Magánszemély!U:U,0)),IFERROR(INDEX('Jogi személy'!Y:Y,MATCH(Táblázat4[[#This Row],[IKTATÓ]],'Jogi személy'!V:V,0)),""))</f>
        <v/>
      </c>
      <c r="Y27" t="str">
        <f>IFERROR(INDEX(Magánszemély!Y:Y,MATCH(Táblázat4[[#This Row],[IKTATÓ]],Magánszemély!U:U,0)),IFERROR(INDEX('Jogi személy'!Z:Z,MATCH(Táblázat4[[#This Row],[IKTATÓ]],'Jogi személy'!V:V,0)),""))</f>
        <v/>
      </c>
      <c r="Z27" t="str">
        <f>IFERROR(INDEX(Magánszemély!Z:Z,MATCH(Táblázat4[[#This Row],[IKTATÓ]],Magánszemély!U:U,0)),IFERROR(INDEX('Jogi személy'!AA:AA,MATCH(Táblázat4[[#This Row],[IKTATÓ]],'Jogi személy'!V:V,0)),""))</f>
        <v/>
      </c>
      <c r="AA27" t="str">
        <f>IFERROR(INDEX(Magánszemély!AA:AA,MATCH(Táblázat4[[#This Row],[IKTATÓ]],Magánszemély!U:U,0)),IFERROR(INDEX('Jogi személy'!AB:AB,MATCH(Táblázat4[[#This Row],[IKTATÓ]],'Jogi személy'!V:V,0)),""))</f>
        <v/>
      </c>
      <c r="AB27" t="str">
        <f>IFERROR(INDEX(Magánszemély!AB:AB,MATCH(Táblázat4[[#This Row],[IKTATÓ]],Magánszemély!U:U,0)),IFERROR(INDEX('Jogi személy'!AC:AC,MATCH(Táblázat4[[#This Row],[IKTATÓ]],'Jogi személy'!V:V,0)),""))</f>
        <v/>
      </c>
      <c r="AC27" t="str">
        <f>IFERROR(INDEX(Magánszemély!AC:AC,MATCH(Táblázat4[[#This Row],[IKTATÓ]],Magánszemély!U:U,0)),IFERROR(INDEX('Jogi személy'!AD:AD,MATCH(Táblázat4[[#This Row],[IKTATÓ]],'Jogi személy'!V:V,0)),""))</f>
        <v/>
      </c>
      <c r="AD27" t="str">
        <f>IFERROR(INDEX('Jogi személy'!I:I,MATCH(Táblázat4[[#This Row],[IKTATÓ]],'Jogi személy'!V:V,0)),"")</f>
        <v/>
      </c>
      <c r="AE27" t="str">
        <f>IFERROR(INDEX('Jogi személy'!J:J,MATCH(Táblázat4[[#This Row],[IKTATÓ]],'Jogi személy'!V:V,0)),"")</f>
        <v/>
      </c>
      <c r="AF27" t="str">
        <f>IFERROR(INDEX('Jogi személy'!K:K,MATCH(Táblázat4[[#This Row],[IKTATÓ]],'Jogi személy'!V:V,0)),"")</f>
        <v/>
      </c>
      <c r="AG27" t="str">
        <f>IFERROR(INDEX('Jogi személy'!L:L,MATCH(Táblázat4[[#This Row],[IKTATÓ]],'Jogi személy'!V:V,0)),"")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S2:S27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G18" sqref="G18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6" t="s">
        <v>52</v>
      </c>
      <c r="B1" s="16" t="s">
        <v>53</v>
      </c>
      <c r="C1" s="16" t="s">
        <v>1215</v>
      </c>
      <c r="D1" s="17" t="s">
        <v>54</v>
      </c>
      <c r="E1" s="18" t="s">
        <v>55</v>
      </c>
      <c r="F1" s="19" t="s">
        <v>56</v>
      </c>
      <c r="G1" s="19" t="s">
        <v>41</v>
      </c>
      <c r="H1" s="17" t="s">
        <v>57</v>
      </c>
    </row>
    <row r="2" spans="1:8" x14ac:dyDescent="0.25">
      <c r="A2" s="16" t="s">
        <v>58</v>
      </c>
      <c r="B2" s="16" t="s">
        <v>59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58</v>
      </c>
      <c r="B3" s="16" t="s">
        <v>60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58</v>
      </c>
      <c r="B4" s="16" t="s">
        <v>61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58</v>
      </c>
      <c r="B5" s="16" t="s">
        <v>62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58</v>
      </c>
      <c r="B6" s="21" t="s">
        <v>63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58</v>
      </c>
      <c r="B7" s="16" t="s">
        <v>64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58</v>
      </c>
      <c r="B8" s="16" t="s">
        <v>65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58</v>
      </c>
      <c r="B9" s="16" t="s">
        <v>66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58</v>
      </c>
      <c r="B10" s="16" t="s">
        <v>67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58</v>
      </c>
      <c r="B11" s="16" t="s">
        <v>68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58</v>
      </c>
      <c r="B12" s="16" t="s">
        <v>69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58</v>
      </c>
      <c r="B13" s="16" t="s">
        <v>70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58</v>
      </c>
      <c r="B14" s="16" t="s">
        <v>71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58</v>
      </c>
      <c r="B15" s="21" t="s">
        <v>72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58</v>
      </c>
      <c r="B16" s="21" t="s">
        <v>73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58</v>
      </c>
      <c r="B17" s="21" t="s">
        <v>74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58</v>
      </c>
      <c r="B18" s="21" t="s">
        <v>75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58</v>
      </c>
      <c r="B19" s="21" t="s">
        <v>76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58</v>
      </c>
      <c r="B20" s="21" t="s">
        <v>77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58</v>
      </c>
      <c r="B21" s="21" t="s">
        <v>78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58</v>
      </c>
      <c r="B22" s="21" t="s">
        <v>79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58</v>
      </c>
      <c r="B23" s="21" t="s">
        <v>80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58</v>
      </c>
      <c r="B24" s="21" t="s">
        <v>81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58</v>
      </c>
      <c r="B25" s="21" t="s">
        <v>82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58</v>
      </c>
      <c r="B26" s="21" t="s">
        <v>83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58</v>
      </c>
      <c r="B27" s="21" t="s">
        <v>84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58</v>
      </c>
      <c r="B28" s="21" t="s">
        <v>85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58</v>
      </c>
      <c r="B29" s="21" t="s">
        <v>86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58</v>
      </c>
      <c r="B30" s="21" t="s">
        <v>87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58</v>
      </c>
      <c r="B31" s="21" t="s">
        <v>88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58</v>
      </c>
      <c r="B32" s="21" t="s">
        <v>89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58</v>
      </c>
      <c r="B33" s="21" t="s">
        <v>90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58</v>
      </c>
      <c r="B34" s="21" t="s">
        <v>91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58</v>
      </c>
      <c r="B35" s="21" t="s">
        <v>92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58</v>
      </c>
      <c r="B36" s="21" t="s">
        <v>93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58</v>
      </c>
      <c r="B37" s="21" t="s">
        <v>94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58</v>
      </c>
      <c r="B38" s="21" t="s">
        <v>95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58</v>
      </c>
      <c r="B39" s="21" t="s">
        <v>96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58</v>
      </c>
      <c r="B40" s="21" t="s">
        <v>97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58</v>
      </c>
      <c r="B41" s="16" t="s">
        <v>98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58</v>
      </c>
      <c r="B42" s="16" t="s">
        <v>99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58</v>
      </c>
      <c r="B43" s="16" t="s">
        <v>100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58</v>
      </c>
      <c r="B44" s="21" t="s">
        <v>101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58</v>
      </c>
      <c r="B45" s="21" t="s">
        <v>102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103</v>
      </c>
      <c r="B47" s="21" t="s">
        <v>104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103</v>
      </c>
      <c r="B48" s="21" t="s">
        <v>105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103</v>
      </c>
      <c r="B49" s="21" t="s">
        <v>106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103</v>
      </c>
      <c r="B50" s="21" t="s">
        <v>107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103</v>
      </c>
      <c r="B51" s="21" t="s">
        <v>108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103</v>
      </c>
      <c r="B52" s="21" t="s">
        <v>109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103</v>
      </c>
      <c r="B53" s="21" t="s">
        <v>110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103</v>
      </c>
      <c r="B54" s="21" t="s">
        <v>111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103</v>
      </c>
      <c r="B55" s="16" t="s">
        <v>112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103</v>
      </c>
      <c r="B56" s="16" t="s">
        <v>113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103</v>
      </c>
      <c r="B57" s="16" t="s">
        <v>114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103</v>
      </c>
      <c r="B58" s="16" t="s">
        <v>115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116</v>
      </c>
      <c r="B60" s="16" t="s">
        <v>117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116</v>
      </c>
      <c r="B61" s="16" t="s">
        <v>118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116</v>
      </c>
      <c r="B62" s="16" t="s">
        <v>119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116</v>
      </c>
      <c r="B63" s="16" t="s">
        <v>120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121</v>
      </c>
      <c r="B65" s="21" t="s">
        <v>122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121</v>
      </c>
      <c r="B66" s="21" t="s">
        <v>123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121</v>
      </c>
      <c r="B67" s="21" t="s">
        <v>124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121</v>
      </c>
      <c r="B68" s="21" t="s">
        <v>125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121</v>
      </c>
      <c r="B69" s="21" t="s">
        <v>126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127</v>
      </c>
      <c r="B71" s="21" t="s">
        <v>128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127</v>
      </c>
      <c r="B72" s="21" t="s">
        <v>129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127</v>
      </c>
      <c r="B73" s="21" t="s">
        <v>130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127</v>
      </c>
      <c r="B74" s="21" t="s">
        <v>131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127</v>
      </c>
      <c r="B75" s="21" t="s">
        <v>132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127</v>
      </c>
      <c r="B76" s="21" t="s">
        <v>133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127</v>
      </c>
      <c r="B77" s="21" t="s">
        <v>134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127</v>
      </c>
      <c r="B78" s="21" t="s">
        <v>135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127</v>
      </c>
      <c r="B79" s="21" t="s">
        <v>136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127</v>
      </c>
      <c r="B80" s="21" t="s">
        <v>137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127</v>
      </c>
      <c r="B81" s="21" t="s">
        <v>138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127</v>
      </c>
      <c r="B82" s="21" t="s">
        <v>139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127</v>
      </c>
      <c r="B83" s="21" t="s">
        <v>140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127</v>
      </c>
      <c r="B84" s="21" t="s">
        <v>141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127</v>
      </c>
      <c r="B85" s="21" t="s">
        <v>142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127</v>
      </c>
      <c r="B86" s="21" t="s">
        <v>143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127</v>
      </c>
      <c r="B87" s="16" t="s">
        <v>144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127</v>
      </c>
      <c r="B88" s="21" t="s">
        <v>145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127</v>
      </c>
      <c r="B89" s="21" t="s">
        <v>146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127</v>
      </c>
      <c r="B90" s="21" t="s">
        <v>147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127</v>
      </c>
      <c r="B91" s="21" t="s">
        <v>148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149</v>
      </c>
      <c r="B93" s="16" t="s">
        <v>150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149</v>
      </c>
      <c r="B94" s="16" t="s">
        <v>151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149</v>
      </c>
      <c r="B95" s="16" t="s">
        <v>152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149</v>
      </c>
      <c r="B96" s="16" t="s">
        <v>153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149</v>
      </c>
      <c r="B97" s="16" t="s">
        <v>154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155</v>
      </c>
      <c r="B99" s="21" t="s">
        <v>156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155</v>
      </c>
      <c r="B100" s="21" t="s">
        <v>157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155</v>
      </c>
      <c r="B101" s="21" t="s">
        <v>158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155</v>
      </c>
      <c r="B102" s="21" t="s">
        <v>159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155</v>
      </c>
      <c r="B103" s="21" t="s">
        <v>160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161</v>
      </c>
      <c r="B105" s="21" t="s">
        <v>162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161</v>
      </c>
      <c r="B106" s="21" t="s">
        <v>163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164</v>
      </c>
      <c r="B108" s="23" t="s">
        <v>165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164</v>
      </c>
      <c r="B109" s="23" t="s">
        <v>166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164</v>
      </c>
      <c r="B110" s="23" t="s">
        <v>167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164</v>
      </c>
      <c r="B111" s="23" t="s">
        <v>168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164</v>
      </c>
      <c r="B112" s="23" t="s">
        <v>169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170</v>
      </c>
      <c r="B114" s="21" t="s">
        <v>171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170</v>
      </c>
      <c r="B115" s="21" t="s">
        <v>172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170</v>
      </c>
      <c r="B116" s="21" t="s">
        <v>173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170</v>
      </c>
      <c r="B117" s="21" t="s">
        <v>174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170</v>
      </c>
      <c r="B118" s="21" t="s">
        <v>175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170</v>
      </c>
      <c r="B119" s="21" t="s">
        <v>176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170</v>
      </c>
      <c r="B120" s="21" t="s">
        <v>177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170</v>
      </c>
      <c r="B121" s="21" t="s">
        <v>178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179</v>
      </c>
      <c r="B123" s="16" t="s">
        <v>180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181</v>
      </c>
      <c r="B125" s="21" t="s">
        <v>182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181</v>
      </c>
      <c r="B126" s="21" t="s">
        <v>183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184</v>
      </c>
      <c r="B128" s="21" t="s">
        <v>185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184</v>
      </c>
      <c r="B129" s="21" t="s">
        <v>186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184</v>
      </c>
      <c r="B130" s="21" t="s">
        <v>187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184</v>
      </c>
      <c r="B131" s="21" t="s">
        <v>188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184</v>
      </c>
      <c r="B132" s="21" t="s">
        <v>189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184</v>
      </c>
      <c r="B133" s="21" t="s">
        <v>190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184</v>
      </c>
      <c r="B134" s="16" t="s">
        <v>191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184</v>
      </c>
      <c r="B135" s="16" t="s">
        <v>192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184</v>
      </c>
      <c r="B136" s="16" t="s">
        <v>193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184</v>
      </c>
      <c r="B137" s="16" t="s">
        <v>194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184</v>
      </c>
      <c r="B138" s="16" t="s">
        <v>195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184</v>
      </c>
      <c r="B139" s="16" t="s">
        <v>196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184</v>
      </c>
      <c r="B140" s="16" t="s">
        <v>197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184</v>
      </c>
      <c r="B141" s="16" t="s">
        <v>198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184</v>
      </c>
      <c r="B142" s="16" t="s">
        <v>59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184</v>
      </c>
      <c r="B143" s="16" t="s">
        <v>60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184</v>
      </c>
      <c r="B144" s="16" t="s">
        <v>61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184</v>
      </c>
      <c r="B145" s="16" t="s">
        <v>62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184</v>
      </c>
      <c r="B146" s="21" t="s">
        <v>63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184</v>
      </c>
      <c r="B147" s="16" t="s">
        <v>64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184</v>
      </c>
      <c r="B148" s="16" t="s">
        <v>65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184</v>
      </c>
      <c r="B149" s="16" t="s">
        <v>66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184</v>
      </c>
      <c r="B150" s="16" t="s">
        <v>67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184</v>
      </c>
      <c r="B151" s="16" t="s">
        <v>68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184</v>
      </c>
      <c r="B152" s="16" t="s">
        <v>69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184</v>
      </c>
      <c r="B153" s="16" t="s">
        <v>70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184</v>
      </c>
      <c r="B154" s="16" t="s">
        <v>71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184</v>
      </c>
      <c r="B155" s="21" t="s">
        <v>72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184</v>
      </c>
      <c r="B156" s="21" t="s">
        <v>73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184</v>
      </c>
      <c r="B157" s="21" t="s">
        <v>74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184</v>
      </c>
      <c r="B158" s="21" t="s">
        <v>75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184</v>
      </c>
      <c r="B159" s="21" t="s">
        <v>76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184</v>
      </c>
      <c r="B160" s="21" t="s">
        <v>77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184</v>
      </c>
      <c r="B161" s="21" t="s">
        <v>78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184</v>
      </c>
      <c r="B162" s="21" t="s">
        <v>79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184</v>
      </c>
      <c r="B163" s="21" t="s">
        <v>80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184</v>
      </c>
      <c r="B164" s="21" t="s">
        <v>81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184</v>
      </c>
      <c r="B165" s="21" t="s">
        <v>82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184</v>
      </c>
      <c r="B166" s="21" t="s">
        <v>83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184</v>
      </c>
      <c r="B167" s="21" t="s">
        <v>84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184</v>
      </c>
      <c r="B168" s="21" t="s">
        <v>85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184</v>
      </c>
      <c r="B169" s="21" t="s">
        <v>86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184</v>
      </c>
      <c r="B170" s="21" t="s">
        <v>87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184</v>
      </c>
      <c r="B171" s="21" t="s">
        <v>88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184</v>
      </c>
      <c r="B172" s="21" t="s">
        <v>89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184</v>
      </c>
      <c r="B173" s="21" t="s">
        <v>90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184</v>
      </c>
      <c r="B174" s="21" t="s">
        <v>91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184</v>
      </c>
      <c r="B175" s="21" t="s">
        <v>92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184</v>
      </c>
      <c r="B176" s="21" t="s">
        <v>93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184</v>
      </c>
      <c r="B177" s="21" t="s">
        <v>94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184</v>
      </c>
      <c r="B178" s="21" t="s">
        <v>95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184</v>
      </c>
      <c r="B179" s="21" t="s">
        <v>96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184</v>
      </c>
      <c r="B180" s="21" t="s">
        <v>97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184</v>
      </c>
      <c r="B181" s="16" t="s">
        <v>98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184</v>
      </c>
      <c r="B182" s="16" t="s">
        <v>99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184</v>
      </c>
      <c r="B183" s="16" t="s">
        <v>100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184</v>
      </c>
      <c r="B184" s="21" t="s">
        <v>101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184</v>
      </c>
      <c r="B185" s="21" t="s">
        <v>102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199</v>
      </c>
      <c r="B187" s="21" t="s">
        <v>200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199</v>
      </c>
      <c r="B188" s="21" t="s">
        <v>201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199</v>
      </c>
      <c r="B189" s="21" t="s">
        <v>202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199</v>
      </c>
      <c r="B190" s="21" t="s">
        <v>203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199</v>
      </c>
      <c r="B191" s="21" t="s">
        <v>204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199</v>
      </c>
      <c r="B192" s="21" t="s">
        <v>205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199</v>
      </c>
      <c r="B193" s="21" t="s">
        <v>206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199</v>
      </c>
      <c r="B194" s="21" t="s">
        <v>207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199</v>
      </c>
      <c r="B195" s="21" t="s">
        <v>208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199</v>
      </c>
      <c r="B196" s="21" t="s">
        <v>209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199</v>
      </c>
      <c r="B197" s="21" t="s">
        <v>210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199</v>
      </c>
      <c r="B198" s="21" t="s">
        <v>211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199</v>
      </c>
      <c r="B199" s="21" t="s">
        <v>212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199</v>
      </c>
      <c r="B200" s="21" t="s">
        <v>213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199</v>
      </c>
      <c r="B201" s="21" t="s">
        <v>214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199</v>
      </c>
      <c r="B202" s="21" t="s">
        <v>215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199</v>
      </c>
      <c r="B203" s="21" t="s">
        <v>216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199</v>
      </c>
      <c r="B204" s="21" t="s">
        <v>217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199</v>
      </c>
      <c r="B205" s="21" t="s">
        <v>218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199</v>
      </c>
      <c r="B206" s="21" t="s">
        <v>219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199</v>
      </c>
      <c r="B207" s="21" t="s">
        <v>220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199</v>
      </c>
      <c r="B208" s="21" t="s">
        <v>221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199</v>
      </c>
      <c r="B209" s="21" t="s">
        <v>222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199</v>
      </c>
      <c r="B210" s="21" t="s">
        <v>223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224</v>
      </c>
      <c r="B212" s="21" t="s">
        <v>225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224</v>
      </c>
      <c r="B213" s="21" t="s">
        <v>226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224</v>
      </c>
      <c r="B214" s="21" t="s">
        <v>227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224</v>
      </c>
      <c r="B215" s="21" t="s">
        <v>228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224</v>
      </c>
      <c r="B216" s="21" t="s">
        <v>229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224</v>
      </c>
      <c r="B217" s="21" t="s">
        <v>230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224</v>
      </c>
      <c r="B218" s="21" t="s">
        <v>231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224</v>
      </c>
      <c r="B219" s="21" t="s">
        <v>232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224</v>
      </c>
      <c r="B220" s="21" t="s">
        <v>233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224</v>
      </c>
      <c r="B221" s="21" t="s">
        <v>234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224</v>
      </c>
      <c r="B222" s="21" t="s">
        <v>235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224</v>
      </c>
      <c r="B223" s="21" t="s">
        <v>236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224</v>
      </c>
      <c r="B224" s="21" t="s">
        <v>237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224</v>
      </c>
      <c r="B225" s="21" t="s">
        <v>238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224</v>
      </c>
      <c r="B226" s="21" t="s">
        <v>239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224</v>
      </c>
      <c r="B227" s="21" t="s">
        <v>240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224</v>
      </c>
      <c r="B228" s="21" t="s">
        <v>241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224</v>
      </c>
      <c r="B229" s="21" t="s">
        <v>242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224</v>
      </c>
      <c r="B230" s="21" t="s">
        <v>243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224</v>
      </c>
      <c r="B231" s="21" t="s">
        <v>244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224</v>
      </c>
      <c r="B232" s="21" t="s">
        <v>245</v>
      </c>
      <c r="C232" s="21" t="str">
        <f t="shared" si="6"/>
        <v>Fronius PRIMO 6.0-1 és a LIGHT változat</v>
      </c>
      <c r="D232" s="18" t="s">
        <v>246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224</v>
      </c>
      <c r="B233" s="21" t="s">
        <v>247</v>
      </c>
      <c r="C233" s="21" t="str">
        <f t="shared" si="6"/>
        <v>Fronius PRIMO 8.2-1 és a LIGHT változat</v>
      </c>
      <c r="D233" s="18" t="s">
        <v>248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224</v>
      </c>
      <c r="B234" s="16" t="s">
        <v>249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224</v>
      </c>
      <c r="B235" s="16" t="s">
        <v>250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224</v>
      </c>
      <c r="B236" s="16" t="s">
        <v>251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224</v>
      </c>
      <c r="B237" s="16" t="s">
        <v>252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224</v>
      </c>
      <c r="B238" s="16" t="s">
        <v>253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224</v>
      </c>
      <c r="B239" s="16" t="s">
        <v>254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224</v>
      </c>
      <c r="B240" s="16" t="s">
        <v>255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224</v>
      </c>
      <c r="B241" s="16" t="s">
        <v>256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224</v>
      </c>
      <c r="B242" s="16" t="s">
        <v>257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224</v>
      </c>
      <c r="B243" s="16" t="s">
        <v>258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224</v>
      </c>
      <c r="B244" s="16" t="s">
        <v>259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224</v>
      </c>
      <c r="B245" s="16" t="s">
        <v>260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224</v>
      </c>
      <c r="B246" s="16" t="s">
        <v>261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224</v>
      </c>
      <c r="B247" s="16" t="s">
        <v>262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224</v>
      </c>
      <c r="B248" s="16" t="s">
        <v>263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224</v>
      </c>
      <c r="B249" s="16" t="s">
        <v>264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224</v>
      </c>
      <c r="B250" s="16" t="s">
        <v>265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224</v>
      </c>
      <c r="B251" s="16" t="s">
        <v>266</v>
      </c>
      <c r="C251" s="16" t="str">
        <f t="shared" si="6"/>
        <v>Fronius PRIMO GEN24 6.0 PLUS         ₪</v>
      </c>
      <c r="D251" s="18" t="s">
        <v>246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224</v>
      </c>
      <c r="B252" s="21" t="s">
        <v>267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224</v>
      </c>
      <c r="B253" s="21" t="s">
        <v>268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224</v>
      </c>
      <c r="B254" s="21" t="s">
        <v>269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224</v>
      </c>
      <c r="B255" s="21" t="s">
        <v>270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224</v>
      </c>
      <c r="B256" s="21" t="s">
        <v>271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224</v>
      </c>
      <c r="B257" s="21" t="s">
        <v>272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224</v>
      </c>
      <c r="B258" s="21" t="s">
        <v>273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224</v>
      </c>
      <c r="B259" s="21" t="s">
        <v>274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224</v>
      </c>
      <c r="B260" s="21" t="s">
        <v>275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224</v>
      </c>
      <c r="B261" s="21" t="s">
        <v>276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224</v>
      </c>
      <c r="B262" s="21" t="s">
        <v>277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224</v>
      </c>
      <c r="B263" s="21" t="s">
        <v>278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224</v>
      </c>
      <c r="B264" s="21" t="s">
        <v>279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224</v>
      </c>
      <c r="B265" s="21" t="s">
        <v>280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224</v>
      </c>
      <c r="B266" s="21" t="s">
        <v>281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224</v>
      </c>
      <c r="B267" s="16" t="s">
        <v>282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224</v>
      </c>
      <c r="B268" s="16" t="s">
        <v>283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224</v>
      </c>
      <c r="B269" s="16" t="s">
        <v>284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224</v>
      </c>
      <c r="B270" s="16" t="s">
        <v>285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224</v>
      </c>
      <c r="B271" s="16" t="s">
        <v>286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224</v>
      </c>
      <c r="B272" s="16" t="s">
        <v>287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224</v>
      </c>
      <c r="B273" s="16" t="s">
        <v>288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224</v>
      </c>
      <c r="B274" s="16" t="s">
        <v>289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224</v>
      </c>
      <c r="B275" s="16" t="s">
        <v>290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224</v>
      </c>
      <c r="B276" s="16" t="s">
        <v>291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224</v>
      </c>
      <c r="B277" s="16" t="s">
        <v>292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224</v>
      </c>
      <c r="B278" s="16" t="s">
        <v>293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224</v>
      </c>
      <c r="B279" s="16" t="s">
        <v>294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224</v>
      </c>
      <c r="B280" s="16" t="s">
        <v>295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224</v>
      </c>
      <c r="B281" s="16" t="s">
        <v>296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224</v>
      </c>
      <c r="B282" s="16" t="s">
        <v>297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224</v>
      </c>
      <c r="B283" s="16" t="s">
        <v>298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224</v>
      </c>
      <c r="B284" s="16" t="s">
        <v>299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224</v>
      </c>
      <c r="B285" s="16" t="s">
        <v>300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224</v>
      </c>
      <c r="B286" s="16" t="s">
        <v>301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224</v>
      </c>
      <c r="B287" s="21" t="s">
        <v>302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224</v>
      </c>
      <c r="B288" s="16" t="s">
        <v>303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224</v>
      </c>
      <c r="B289" s="16" t="s">
        <v>304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224</v>
      </c>
      <c r="B290" s="16" t="s">
        <v>305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224</v>
      </c>
      <c r="B291" s="16" t="s">
        <v>306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224</v>
      </c>
      <c r="B292" s="16" t="s">
        <v>307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224</v>
      </c>
      <c r="B293" s="21" t="s">
        <v>308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224</v>
      </c>
      <c r="B294" s="21" t="s">
        <v>309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224</v>
      </c>
      <c r="B295" s="21" t="s">
        <v>310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224</v>
      </c>
      <c r="B296" s="16" t="s">
        <v>311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224</v>
      </c>
      <c r="B297" s="16" t="s">
        <v>312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224</v>
      </c>
      <c r="B298" s="16" t="s">
        <v>313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224</v>
      </c>
      <c r="B299" s="16" t="s">
        <v>314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315</v>
      </c>
      <c r="B301" s="21" t="s">
        <v>316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315</v>
      </c>
      <c r="B302" s="21" t="s">
        <v>317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315</v>
      </c>
      <c r="B303" s="21" t="s">
        <v>318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315</v>
      </c>
      <c r="B304" s="21" t="s">
        <v>319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315</v>
      </c>
      <c r="B305" s="21" t="s">
        <v>320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315</v>
      </c>
      <c r="B306" s="21" t="s">
        <v>321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315</v>
      </c>
      <c r="B307" s="16" t="s">
        <v>322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315</v>
      </c>
      <c r="B308" s="16" t="s">
        <v>323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315</v>
      </c>
      <c r="B309" s="16" t="s">
        <v>324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315</v>
      </c>
      <c r="B310" s="16" t="s">
        <v>325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315</v>
      </c>
      <c r="B311" s="16" t="s">
        <v>326</v>
      </c>
      <c r="C311" s="16" t="str">
        <f t="shared" si="8"/>
        <v>GOODWE GW6000D-NS</v>
      </c>
      <c r="D311" s="18" t="s">
        <v>246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315</v>
      </c>
      <c r="B312" s="21" t="s">
        <v>327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315</v>
      </c>
      <c r="B313" s="21" t="s">
        <v>328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315</v>
      </c>
      <c r="B314" s="21" t="s">
        <v>329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315</v>
      </c>
      <c r="B315" s="21" t="s">
        <v>330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315</v>
      </c>
      <c r="B316" s="21" t="s">
        <v>331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315</v>
      </c>
      <c r="B317" s="21" t="s">
        <v>332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315</v>
      </c>
      <c r="B318" s="21" t="s">
        <v>333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315</v>
      </c>
      <c r="B319" s="21" t="s">
        <v>334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315</v>
      </c>
      <c r="B320" s="16" t="s">
        <v>335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336</v>
      </c>
      <c r="B322" s="21" t="s">
        <v>337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336</v>
      </c>
      <c r="B323" s="21" t="s">
        <v>338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336</v>
      </c>
      <c r="B324" s="21" t="s">
        <v>339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336</v>
      </c>
      <c r="B325" s="21" t="s">
        <v>340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341</v>
      </c>
      <c r="B327" s="16" t="s">
        <v>342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341</v>
      </c>
      <c r="B328" s="21" t="s">
        <v>343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341</v>
      </c>
      <c r="B329" s="21" t="s">
        <v>344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341</v>
      </c>
      <c r="B330" s="21" t="s">
        <v>345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341</v>
      </c>
      <c r="B331" s="16" t="s">
        <v>346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341</v>
      </c>
      <c r="B332" s="21" t="s">
        <v>347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341</v>
      </c>
      <c r="B333" s="21" t="s">
        <v>348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341</v>
      </c>
      <c r="B334" s="21" t="s">
        <v>349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341</v>
      </c>
      <c r="B335" s="21" t="s">
        <v>350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341</v>
      </c>
      <c r="B336" s="21" t="s">
        <v>351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341</v>
      </c>
      <c r="B337" s="21" t="s">
        <v>352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341</v>
      </c>
      <c r="B338" s="21" t="s">
        <v>353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341</v>
      </c>
      <c r="B339" s="21" t="s">
        <v>354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341</v>
      </c>
      <c r="B340" s="21" t="s">
        <v>355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341</v>
      </c>
      <c r="B341" s="21" t="s">
        <v>356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341</v>
      </c>
      <c r="B342" s="21" t="s">
        <v>357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341</v>
      </c>
      <c r="B343" s="16" t="s">
        <v>358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341</v>
      </c>
      <c r="B344" s="16" t="s">
        <v>359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341</v>
      </c>
      <c r="B345" s="16" t="s">
        <v>360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341</v>
      </c>
      <c r="B346" s="16" t="s">
        <v>361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341</v>
      </c>
      <c r="B347" s="16" t="s">
        <v>362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341</v>
      </c>
      <c r="B348" s="16" t="s">
        <v>363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341</v>
      </c>
      <c r="B349" s="16" t="s">
        <v>364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341</v>
      </c>
      <c r="B350" s="21" t="s">
        <v>365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341</v>
      </c>
      <c r="B351" s="21" t="s">
        <v>366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341</v>
      </c>
      <c r="B352" s="21" t="s">
        <v>367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341</v>
      </c>
      <c r="B353" s="21" t="s">
        <v>368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341</v>
      </c>
      <c r="B354" s="21" t="s">
        <v>369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341</v>
      </c>
      <c r="B355" s="21" t="s">
        <v>370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341</v>
      </c>
      <c r="B356" s="21" t="s">
        <v>371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341</v>
      </c>
      <c r="B357" s="16" t="s">
        <v>372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341</v>
      </c>
      <c r="B358" s="16" t="s">
        <v>373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341</v>
      </c>
      <c r="B359" s="16" t="s">
        <v>374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341</v>
      </c>
      <c r="B360" s="16" t="s">
        <v>375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341</v>
      </c>
      <c r="B361" s="16" t="s">
        <v>376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341</v>
      </c>
      <c r="B362" s="16" t="s">
        <v>377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341</v>
      </c>
      <c r="B363" s="16" t="s">
        <v>378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341</v>
      </c>
      <c r="B364" s="16" t="s">
        <v>379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341</v>
      </c>
      <c r="B365" s="16" t="s">
        <v>380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341</v>
      </c>
      <c r="B366" s="16" t="s">
        <v>381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341</v>
      </c>
      <c r="B367" s="16" t="s">
        <v>382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341</v>
      </c>
      <c r="B368" s="16" t="s">
        <v>383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341</v>
      </c>
      <c r="B369" s="16" t="s">
        <v>384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341</v>
      </c>
      <c r="B370" s="21" t="s">
        <v>385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341</v>
      </c>
      <c r="B371" s="21" t="s">
        <v>386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341</v>
      </c>
      <c r="B372" s="21" t="s">
        <v>387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341</v>
      </c>
      <c r="B373" s="21" t="s">
        <v>388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341</v>
      </c>
      <c r="B374" s="21" t="s">
        <v>389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341</v>
      </c>
      <c r="B375" s="21" t="s">
        <v>390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341</v>
      </c>
      <c r="B376" s="21" t="s">
        <v>391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341</v>
      </c>
      <c r="B377" s="21" t="s">
        <v>392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341</v>
      </c>
      <c r="B378" s="21" t="s">
        <v>393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341</v>
      </c>
      <c r="B379" s="21" t="s">
        <v>394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341</v>
      </c>
      <c r="B380" s="21" t="s">
        <v>395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341</v>
      </c>
      <c r="B381" s="21" t="s">
        <v>396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341</v>
      </c>
      <c r="B382" s="21" t="s">
        <v>397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341</v>
      </c>
      <c r="B383" s="21" t="s">
        <v>398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341</v>
      </c>
      <c r="B384" s="21" t="s">
        <v>399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341</v>
      </c>
      <c r="B385" s="21" t="s">
        <v>400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341</v>
      </c>
      <c r="B386" s="21" t="s">
        <v>401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341</v>
      </c>
      <c r="B387" s="21" t="s">
        <v>402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341</v>
      </c>
      <c r="B388" s="21" t="s">
        <v>403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341</v>
      </c>
      <c r="B389" s="21" t="s">
        <v>404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341</v>
      </c>
      <c r="B390" s="21" t="s">
        <v>405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341</v>
      </c>
      <c r="B391" s="23" t="s">
        <v>406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341</v>
      </c>
      <c r="B392" s="23" t="s">
        <v>407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341</v>
      </c>
      <c r="B393" s="23" t="s">
        <v>408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341</v>
      </c>
      <c r="B394" s="23" t="s">
        <v>409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341</v>
      </c>
      <c r="B395" s="23" t="s">
        <v>410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341</v>
      </c>
      <c r="B396" s="23" t="s">
        <v>411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341</v>
      </c>
      <c r="B397" s="23" t="s">
        <v>412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341</v>
      </c>
      <c r="B398" s="23" t="s">
        <v>413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341</v>
      </c>
      <c r="B399" s="28" t="s">
        <v>414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341</v>
      </c>
      <c r="B400" s="28" t="s">
        <v>415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341</v>
      </c>
      <c r="B401" s="27" t="s">
        <v>416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341</v>
      </c>
      <c r="B402" s="30" t="s">
        <v>417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341</v>
      </c>
      <c r="B403" s="30" t="s">
        <v>418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341</v>
      </c>
      <c r="B404" s="30" t="s">
        <v>419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341</v>
      </c>
      <c r="B405" s="30" t="s">
        <v>420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341</v>
      </c>
      <c r="B406" s="27" t="s">
        <v>421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341</v>
      </c>
      <c r="B407" s="27" t="s">
        <v>422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341</v>
      </c>
      <c r="B408" s="27" t="s">
        <v>423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341</v>
      </c>
      <c r="B409" s="27" t="s">
        <v>424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341</v>
      </c>
      <c r="B410" s="27" t="s">
        <v>425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341</v>
      </c>
      <c r="B411" s="27" t="s">
        <v>426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341</v>
      </c>
      <c r="B412" s="27" t="s">
        <v>427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341</v>
      </c>
      <c r="B413" s="27" t="s">
        <v>428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341</v>
      </c>
      <c r="B414" s="27" t="s">
        <v>428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341</v>
      </c>
      <c r="B415" s="27" t="s">
        <v>429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341</v>
      </c>
      <c r="B416" s="27" t="s">
        <v>430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341</v>
      </c>
      <c r="B417" s="27" t="s">
        <v>431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341</v>
      </c>
      <c r="B418" s="27" t="s">
        <v>432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341</v>
      </c>
      <c r="B419" s="27" t="s">
        <v>433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341</v>
      </c>
      <c r="B420" s="27" t="s">
        <v>434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341</v>
      </c>
      <c r="B421" s="27" t="s">
        <v>435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341</v>
      </c>
      <c r="B422" s="27" t="s">
        <v>436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341</v>
      </c>
      <c r="B423" s="27" t="s">
        <v>437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341</v>
      </c>
      <c r="B424" s="27" t="s">
        <v>438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341</v>
      </c>
      <c r="B425" s="27" t="s">
        <v>439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341</v>
      </c>
      <c r="B426" s="27" t="s">
        <v>440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341</v>
      </c>
      <c r="B427" s="27" t="s">
        <v>441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341</v>
      </c>
      <c r="B428" s="27" t="s">
        <v>442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341</v>
      </c>
      <c r="B429" s="27" t="s">
        <v>443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341</v>
      </c>
      <c r="B430" s="27" t="s">
        <v>444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341</v>
      </c>
      <c r="B431" s="27" t="s">
        <v>445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341</v>
      </c>
      <c r="B432" s="27" t="s">
        <v>446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447</v>
      </c>
      <c r="B434" s="27" t="s">
        <v>448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447</v>
      </c>
      <c r="B435" s="27" t="s">
        <v>449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447</v>
      </c>
      <c r="B436" s="30" t="s">
        <v>450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451</v>
      </c>
      <c r="B438" s="16" t="s">
        <v>452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451</v>
      </c>
      <c r="B439" s="21" t="s">
        <v>453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451</v>
      </c>
      <c r="B440" s="21" t="s">
        <v>454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451</v>
      </c>
      <c r="B441" s="21" t="s">
        <v>455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451</v>
      </c>
      <c r="B442" s="21" t="s">
        <v>456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451</v>
      </c>
      <c r="B443" s="21" t="s">
        <v>457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451</v>
      </c>
      <c r="B444" s="21" t="s">
        <v>458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451</v>
      </c>
      <c r="B445" s="21" t="s">
        <v>459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451</v>
      </c>
      <c r="B446" s="21" t="s">
        <v>460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451</v>
      </c>
      <c r="B447" s="21" t="s">
        <v>461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451</v>
      </c>
      <c r="B448" s="21" t="s">
        <v>462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451</v>
      </c>
      <c r="B449" s="21" t="s">
        <v>463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451</v>
      </c>
      <c r="B450" s="21" t="s">
        <v>464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451</v>
      </c>
      <c r="B451" s="21" t="s">
        <v>465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451</v>
      </c>
      <c r="B452" s="21" t="s">
        <v>466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451</v>
      </c>
      <c r="B453" s="21" t="s">
        <v>467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451</v>
      </c>
      <c r="B454" s="16" t="s">
        <v>468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451</v>
      </c>
      <c r="B455" s="16" t="s">
        <v>469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451</v>
      </c>
      <c r="B456" s="21" t="s">
        <v>470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451</v>
      </c>
      <c r="B457" s="21" t="s">
        <v>471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451</v>
      </c>
      <c r="B458" s="21" t="s">
        <v>472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451</v>
      </c>
      <c r="B459" s="21" t="s">
        <v>473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451</v>
      </c>
      <c r="B460" s="21" t="s">
        <v>474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451</v>
      </c>
      <c r="B461" s="21" t="s">
        <v>475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451</v>
      </c>
      <c r="B462" s="21" t="s">
        <v>476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451</v>
      </c>
      <c r="B463" s="21" t="s">
        <v>477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451</v>
      </c>
      <c r="B464" s="21" t="s">
        <v>478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451</v>
      </c>
      <c r="B465" s="21" t="s">
        <v>479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451</v>
      </c>
      <c r="B466" s="21" t="s">
        <v>480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451</v>
      </c>
      <c r="B467" s="21" t="s">
        <v>481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451</v>
      </c>
      <c r="B468" s="21" t="s">
        <v>482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451</v>
      </c>
      <c r="B469" s="16" t="s">
        <v>483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451</v>
      </c>
      <c r="B470" s="21" t="s">
        <v>484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451</v>
      </c>
      <c r="B471" s="21" t="s">
        <v>485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451</v>
      </c>
      <c r="B472" s="21" t="s">
        <v>486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451</v>
      </c>
      <c r="B473" s="16" t="s">
        <v>487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451</v>
      </c>
      <c r="B474" s="16" t="s">
        <v>488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451</v>
      </c>
      <c r="B475" s="16" t="s">
        <v>489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451</v>
      </c>
      <c r="B476" s="16" t="s">
        <v>490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451</v>
      </c>
      <c r="B477" s="16" t="s">
        <v>491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451</v>
      </c>
      <c r="B478" s="16" t="s">
        <v>492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451</v>
      </c>
      <c r="B479" s="16" t="s">
        <v>493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451</v>
      </c>
      <c r="B480" s="16" t="s">
        <v>494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451</v>
      </c>
      <c r="B481" s="16" t="s">
        <v>495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451</v>
      </c>
      <c r="B482" s="16" t="s">
        <v>496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451</v>
      </c>
      <c r="B483" s="16" t="s">
        <v>497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451</v>
      </c>
      <c r="B484" s="21" t="s">
        <v>498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499</v>
      </c>
      <c r="B486" s="21" t="s">
        <v>500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499</v>
      </c>
      <c r="B487" s="21" t="s">
        <v>501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499</v>
      </c>
      <c r="B488" s="21" t="s">
        <v>502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499</v>
      </c>
      <c r="B489" s="21" t="s">
        <v>503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499</v>
      </c>
      <c r="B490" s="21" t="s">
        <v>504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499</v>
      </c>
      <c r="B491" s="21" t="s">
        <v>505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499</v>
      </c>
      <c r="B492" s="21" t="s">
        <v>506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499</v>
      </c>
      <c r="B493" s="21" t="s">
        <v>507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499</v>
      </c>
      <c r="B494" s="21" t="s">
        <v>508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499</v>
      </c>
      <c r="B495" s="21" t="s">
        <v>509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499</v>
      </c>
      <c r="B496" s="21" t="s">
        <v>510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499</v>
      </c>
      <c r="B497" s="21" t="s">
        <v>511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499</v>
      </c>
      <c r="B498" s="21" t="s">
        <v>512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499</v>
      </c>
      <c r="B499" s="21" t="s">
        <v>513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499</v>
      </c>
      <c r="B500" s="21" t="s">
        <v>514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499</v>
      </c>
      <c r="B501" s="21" t="s">
        <v>515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499</v>
      </c>
      <c r="B502" s="21" t="s">
        <v>516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499</v>
      </c>
      <c r="B503" s="21" t="s">
        <v>517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499</v>
      </c>
      <c r="B504" s="16" t="s">
        <v>518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499</v>
      </c>
      <c r="B505" s="16" t="s">
        <v>519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499</v>
      </c>
      <c r="B506" s="16" t="s">
        <v>520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499</v>
      </c>
      <c r="B507" s="16" t="s">
        <v>521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522</v>
      </c>
      <c r="B509" s="21" t="s">
        <v>523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522</v>
      </c>
      <c r="B510" s="21" t="s">
        <v>524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522</v>
      </c>
      <c r="B511" s="21" t="s">
        <v>525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522</v>
      </c>
      <c r="B512" s="21" t="s">
        <v>526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522</v>
      </c>
      <c r="B513" s="21" t="s">
        <v>527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522</v>
      </c>
      <c r="B514" s="21" t="s">
        <v>528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522</v>
      </c>
      <c r="B515" s="21" t="s">
        <v>529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522</v>
      </c>
      <c r="B516" s="21" t="s">
        <v>530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522</v>
      </c>
      <c r="B517" s="21" t="s">
        <v>531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522</v>
      </c>
      <c r="B518" s="21" t="s">
        <v>532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522</v>
      </c>
      <c r="B519" s="21" t="s">
        <v>533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522</v>
      </c>
      <c r="B520" s="21" t="s">
        <v>534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522</v>
      </c>
      <c r="B521" s="21" t="s">
        <v>535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522</v>
      </c>
      <c r="B522" s="21" t="s">
        <v>536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522</v>
      </c>
      <c r="B523" s="21" t="s">
        <v>537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522</v>
      </c>
      <c r="B524" s="21" t="s">
        <v>538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522</v>
      </c>
      <c r="B525" s="21" t="s">
        <v>539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522</v>
      </c>
      <c r="B526" s="21" t="s">
        <v>540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522</v>
      </c>
      <c r="B527" s="21" t="s">
        <v>541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522</v>
      </c>
      <c r="B528" s="21" t="s">
        <v>542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522</v>
      </c>
      <c r="B529" s="21" t="s">
        <v>543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522</v>
      </c>
      <c r="B530" s="21" t="s">
        <v>544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545</v>
      </c>
      <c r="B532" s="16" t="s">
        <v>546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545</v>
      </c>
      <c r="B533" s="16" t="s">
        <v>547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545</v>
      </c>
      <c r="B534" s="16" t="s">
        <v>548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545</v>
      </c>
      <c r="B535" s="16" t="s">
        <v>549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545</v>
      </c>
      <c r="B536" s="16" t="s">
        <v>550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545</v>
      </c>
      <c r="B537" s="21" t="s">
        <v>551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545</v>
      </c>
      <c r="B538" s="21" t="s">
        <v>552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545</v>
      </c>
      <c r="B539" s="16" t="s">
        <v>553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545</v>
      </c>
      <c r="B540" s="16" t="s">
        <v>554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545</v>
      </c>
      <c r="B541" s="16" t="s">
        <v>555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545</v>
      </c>
      <c r="B542" s="21" t="s">
        <v>556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545</v>
      </c>
      <c r="B543" s="16" t="s">
        <v>557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545</v>
      </c>
      <c r="B544" s="16" t="s">
        <v>558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545</v>
      </c>
      <c r="B545" s="16" t="s">
        <v>559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545</v>
      </c>
      <c r="B546" s="16" t="s">
        <v>560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545</v>
      </c>
      <c r="B547" s="16" t="s">
        <v>561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545</v>
      </c>
      <c r="B548" s="16" t="s">
        <v>562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545</v>
      </c>
      <c r="B549" s="16" t="s">
        <v>563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545</v>
      </c>
      <c r="B550" s="16" t="s">
        <v>564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545</v>
      </c>
      <c r="B551" s="16" t="s">
        <v>565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545</v>
      </c>
      <c r="B552" s="16" t="s">
        <v>566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567</v>
      </c>
      <c r="B554" s="16" t="s">
        <v>568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567</v>
      </c>
      <c r="B555" s="16" t="s">
        <v>569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567</v>
      </c>
      <c r="B556" s="16" t="s">
        <v>570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567</v>
      </c>
      <c r="B557" s="16" t="s">
        <v>571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567</v>
      </c>
      <c r="B558" s="16" t="s">
        <v>572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567</v>
      </c>
      <c r="B559" s="16" t="s">
        <v>573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567</v>
      </c>
      <c r="B560" s="16" t="s">
        <v>574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567</v>
      </c>
      <c r="B561" s="16" t="s">
        <v>575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567</v>
      </c>
      <c r="B562" s="16" t="s">
        <v>576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567</v>
      </c>
      <c r="B563" s="16" t="s">
        <v>577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567</v>
      </c>
      <c r="B564" s="16" t="s">
        <v>578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567</v>
      </c>
      <c r="B565" s="16" t="s">
        <v>579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567</v>
      </c>
      <c r="B566" s="16" t="s">
        <v>580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567</v>
      </c>
      <c r="B567" s="16" t="s">
        <v>581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567</v>
      </c>
      <c r="B568" s="16" t="s">
        <v>582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567</v>
      </c>
      <c r="B569" s="16" t="s">
        <v>583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567</v>
      </c>
      <c r="B570" s="16" t="s">
        <v>584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567</v>
      </c>
      <c r="B571" s="16" t="s">
        <v>585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567</v>
      </c>
      <c r="B572" s="16" t="s">
        <v>586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587</v>
      </c>
      <c r="B574" s="21" t="s">
        <v>588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589</v>
      </c>
      <c r="B576" s="16" t="s">
        <v>590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589</v>
      </c>
      <c r="B577" s="16" t="s">
        <v>591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589</v>
      </c>
      <c r="B578" s="16" t="s">
        <v>592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589</v>
      </c>
      <c r="B579" s="16" t="s">
        <v>593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589</v>
      </c>
      <c r="B580" s="21" t="s">
        <v>594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589</v>
      </c>
      <c r="B581" s="21" t="s">
        <v>595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589</v>
      </c>
      <c r="B582" s="21" t="s">
        <v>596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589</v>
      </c>
      <c r="B583" s="21" t="s">
        <v>597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589</v>
      </c>
      <c r="B584" s="21" t="s">
        <v>598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589</v>
      </c>
      <c r="B585" s="21" t="s">
        <v>599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589</v>
      </c>
      <c r="B586" s="21" t="s">
        <v>600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589</v>
      </c>
      <c r="B587" s="16" t="s">
        <v>601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589</v>
      </c>
      <c r="B588" s="16" t="s">
        <v>602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589</v>
      </c>
      <c r="B589" s="16" t="s">
        <v>603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589</v>
      </c>
      <c r="B590" s="16" t="s">
        <v>604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589</v>
      </c>
      <c r="B591" s="21" t="s">
        <v>605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589</v>
      </c>
      <c r="B592" s="21" t="s">
        <v>606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589</v>
      </c>
      <c r="B593" s="21" t="s">
        <v>607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589</v>
      </c>
      <c r="B594" s="21" t="s">
        <v>608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589</v>
      </c>
      <c r="B595" s="21" t="s">
        <v>609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589</v>
      </c>
      <c r="B596" s="21" t="s">
        <v>610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589</v>
      </c>
      <c r="B597" s="21" t="s">
        <v>611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589</v>
      </c>
      <c r="B598" s="21" t="s">
        <v>612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589</v>
      </c>
      <c r="B599" s="21" t="s">
        <v>613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589</v>
      </c>
      <c r="B600" s="16" t="s">
        <v>614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615</v>
      </c>
      <c r="B602" s="21" t="s">
        <v>616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615</v>
      </c>
      <c r="B603" s="21" t="s">
        <v>617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615</v>
      </c>
      <c r="B604" s="21" t="s">
        <v>618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615</v>
      </c>
      <c r="B605" s="21" t="s">
        <v>619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615</v>
      </c>
      <c r="B606" s="21" t="s">
        <v>620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615</v>
      </c>
      <c r="B607" s="21" t="s">
        <v>621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615</v>
      </c>
      <c r="B608" s="21" t="s">
        <v>622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615</v>
      </c>
      <c r="B609" s="21" t="s">
        <v>623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615</v>
      </c>
      <c r="B610" s="21" t="s">
        <v>624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615</v>
      </c>
      <c r="B611" s="21" t="s">
        <v>625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615</v>
      </c>
      <c r="B612" s="21" t="s">
        <v>626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615</v>
      </c>
      <c r="B613" s="21" t="s">
        <v>627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615</v>
      </c>
      <c r="B614" s="21" t="s">
        <v>628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629</v>
      </c>
      <c r="B616" s="21" t="s">
        <v>630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629</v>
      </c>
      <c r="B617" s="21" t="s">
        <v>631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629</v>
      </c>
      <c r="B618" s="21" t="s">
        <v>632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629</v>
      </c>
      <c r="B619" s="21" t="s">
        <v>633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629</v>
      </c>
      <c r="B620" s="21" t="s">
        <v>634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629</v>
      </c>
      <c r="B621" s="21" t="s">
        <v>635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629</v>
      </c>
      <c r="B622" s="21" t="s">
        <v>636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629</v>
      </c>
      <c r="B623" s="21" t="s">
        <v>637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629</v>
      </c>
      <c r="B624" s="21" t="s">
        <v>638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629</v>
      </c>
      <c r="B625" s="21" t="s">
        <v>639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629</v>
      </c>
      <c r="B626" s="21" t="s">
        <v>640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629</v>
      </c>
      <c r="B627" s="21" t="s">
        <v>641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629</v>
      </c>
      <c r="B628" s="21" t="s">
        <v>642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629</v>
      </c>
      <c r="B629" s="21" t="s">
        <v>643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629</v>
      </c>
      <c r="B630" s="21" t="s">
        <v>644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629</v>
      </c>
      <c r="B631" s="21" t="s">
        <v>645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629</v>
      </c>
      <c r="B632" s="21" t="s">
        <v>646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629</v>
      </c>
      <c r="B633" s="21" t="s">
        <v>647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629</v>
      </c>
      <c r="B634" s="21" t="s">
        <v>648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629</v>
      </c>
      <c r="B635" s="21" t="s">
        <v>649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629</v>
      </c>
      <c r="B636" s="21" t="s">
        <v>650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629</v>
      </c>
      <c r="B637" s="21" t="s">
        <v>651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652</v>
      </c>
      <c r="B639" s="21" t="s">
        <v>653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652</v>
      </c>
      <c r="B640" s="21" t="s">
        <v>654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652</v>
      </c>
      <c r="B641" s="21" t="s">
        <v>655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652</v>
      </c>
      <c r="B642" s="21" t="s">
        <v>656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652</v>
      </c>
      <c r="B643" s="21" t="s">
        <v>657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652</v>
      </c>
      <c r="B644" s="21" t="s">
        <v>658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652</v>
      </c>
      <c r="B645" s="21" t="s">
        <v>659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652</v>
      </c>
      <c r="B646" s="21" t="s">
        <v>660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652</v>
      </c>
      <c r="B647" s="21" t="s">
        <v>661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652</v>
      </c>
      <c r="B648" s="21" t="s">
        <v>662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652</v>
      </c>
      <c r="B649" s="21" t="s">
        <v>663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652</v>
      </c>
      <c r="B650" s="21" t="s">
        <v>664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652</v>
      </c>
      <c r="B651" s="21" t="s">
        <v>665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652</v>
      </c>
      <c r="B652" s="21" t="s">
        <v>666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652</v>
      </c>
      <c r="B653" s="21" t="s">
        <v>667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652</v>
      </c>
      <c r="B654" s="21" t="s">
        <v>668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652</v>
      </c>
      <c r="B655" s="21" t="s">
        <v>669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652</v>
      </c>
      <c r="B656" s="21" t="s">
        <v>670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671</v>
      </c>
      <c r="B658" s="21" t="s">
        <v>672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671</v>
      </c>
      <c r="B659" s="21" t="s">
        <v>673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671</v>
      </c>
      <c r="B660" s="21" t="s">
        <v>674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671</v>
      </c>
      <c r="B661" s="21" t="s">
        <v>675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671</v>
      </c>
      <c r="B662" s="21" t="s">
        <v>676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671</v>
      </c>
      <c r="B663" s="21" t="s">
        <v>677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671</v>
      </c>
      <c r="B664" s="21" t="s">
        <v>678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671</v>
      </c>
      <c r="B665" s="21" t="s">
        <v>679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671</v>
      </c>
      <c r="B666" s="21" t="s">
        <v>680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671</v>
      </c>
      <c r="B667" s="21" t="s">
        <v>681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671</v>
      </c>
      <c r="B668" s="21" t="s">
        <v>682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671</v>
      </c>
      <c r="B669" s="21" t="s">
        <v>683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671</v>
      </c>
      <c r="B670" s="21" t="s">
        <v>684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671</v>
      </c>
      <c r="B671" s="21" t="s">
        <v>685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671</v>
      </c>
      <c r="B672" s="21" t="s">
        <v>686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671</v>
      </c>
      <c r="B673" s="21" t="s">
        <v>687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671</v>
      </c>
      <c r="B674" s="21" t="s">
        <v>688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671</v>
      </c>
      <c r="B675" s="21" t="s">
        <v>689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671</v>
      </c>
      <c r="B676" s="21" t="s">
        <v>690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671</v>
      </c>
      <c r="B677" s="21" t="s">
        <v>691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671</v>
      </c>
      <c r="B678" s="21" t="s">
        <v>692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671</v>
      </c>
      <c r="B679" s="21" t="s">
        <v>693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671</v>
      </c>
      <c r="B680" s="21" t="s">
        <v>694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671</v>
      </c>
      <c r="B681" s="16" t="s">
        <v>695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671</v>
      </c>
      <c r="B682" s="16" t="s">
        <v>696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671</v>
      </c>
      <c r="B683" s="21" t="s">
        <v>697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671</v>
      </c>
      <c r="B684" s="21" t="s">
        <v>698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671</v>
      </c>
      <c r="B685" s="21" t="s">
        <v>699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671</v>
      </c>
      <c r="B686" s="21" t="s">
        <v>700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671</v>
      </c>
      <c r="B687" s="21" t="s">
        <v>701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671</v>
      </c>
      <c r="B688" s="21" t="s">
        <v>702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671</v>
      </c>
      <c r="B689" s="21" t="s">
        <v>703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671</v>
      </c>
      <c r="B690" s="21" t="s">
        <v>704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671</v>
      </c>
      <c r="B691" s="21" t="s">
        <v>705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671</v>
      </c>
      <c r="B692" s="21" t="s">
        <v>706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671</v>
      </c>
      <c r="B693" s="21" t="s">
        <v>707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671</v>
      </c>
      <c r="B694" s="21" t="s">
        <v>708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671</v>
      </c>
      <c r="B695" s="21" t="s">
        <v>709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671</v>
      </c>
      <c r="B696" s="21" t="s">
        <v>710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671</v>
      </c>
      <c r="B697" s="21" t="s">
        <v>711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671</v>
      </c>
      <c r="B698" s="21" t="s">
        <v>712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671</v>
      </c>
      <c r="B699" s="21" t="s">
        <v>713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671</v>
      </c>
      <c r="B700" s="21" t="s">
        <v>714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671</v>
      </c>
      <c r="B701" s="21" t="s">
        <v>715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671</v>
      </c>
      <c r="B702" s="21" t="s">
        <v>716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671</v>
      </c>
      <c r="B703" s="21" t="s">
        <v>717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671</v>
      </c>
      <c r="B704" s="21" t="s">
        <v>718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671</v>
      </c>
      <c r="B705" s="21" t="s">
        <v>719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671</v>
      </c>
      <c r="B706" s="21" t="s">
        <v>720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671</v>
      </c>
      <c r="B707" s="21" t="s">
        <v>721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671</v>
      </c>
      <c r="B708" s="21" t="s">
        <v>722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671</v>
      </c>
      <c r="B709" s="21" t="s">
        <v>723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671</v>
      </c>
      <c r="B710" s="21" t="s">
        <v>724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671</v>
      </c>
      <c r="B711" s="21" t="s">
        <v>725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671</v>
      </c>
      <c r="B712" s="21" t="s">
        <v>726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671</v>
      </c>
      <c r="B713" s="21" t="s">
        <v>727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671</v>
      </c>
      <c r="B714" s="21" t="s">
        <v>728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671</v>
      </c>
      <c r="B715" s="21" t="s">
        <v>729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671</v>
      </c>
      <c r="B716" s="21" t="s">
        <v>730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671</v>
      </c>
      <c r="B717" s="21" t="s">
        <v>731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671</v>
      </c>
      <c r="B718" s="21" t="s">
        <v>732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671</v>
      </c>
      <c r="B719" s="21" t="s">
        <v>733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671</v>
      </c>
      <c r="B720" s="21" t="s">
        <v>734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671</v>
      </c>
      <c r="B721" s="21" t="s">
        <v>735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671</v>
      </c>
      <c r="B722" s="21" t="s">
        <v>736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671</v>
      </c>
      <c r="B723" s="21" t="s">
        <v>737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671</v>
      </c>
      <c r="B724" s="21" t="s">
        <v>738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671</v>
      </c>
      <c r="B725" s="21" t="s">
        <v>739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671</v>
      </c>
      <c r="B726" s="21" t="s">
        <v>740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671</v>
      </c>
      <c r="B727" s="21" t="s">
        <v>741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671</v>
      </c>
      <c r="B728" s="21" t="s">
        <v>742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671</v>
      </c>
      <c r="B729" s="21" t="s">
        <v>743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671</v>
      </c>
      <c r="B730" s="21" t="s">
        <v>744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671</v>
      </c>
      <c r="B731" s="21" t="s">
        <v>745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746</v>
      </c>
      <c r="B733" s="21" t="s">
        <v>747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746</v>
      </c>
      <c r="B734" s="21" t="s">
        <v>748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746</v>
      </c>
      <c r="B735" s="21" t="s">
        <v>749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746</v>
      </c>
      <c r="B736" s="21" t="s">
        <v>750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746</v>
      </c>
      <c r="B737" s="21" t="s">
        <v>751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746</v>
      </c>
      <c r="B738" s="21" t="s">
        <v>752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753</v>
      </c>
      <c r="B740" s="21" t="s">
        <v>754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753</v>
      </c>
      <c r="B741" s="21" t="s">
        <v>755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753</v>
      </c>
      <c r="B742" s="21" t="s">
        <v>756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753</v>
      </c>
      <c r="B743" s="21" t="s">
        <v>757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753</v>
      </c>
      <c r="B744" s="21" t="s">
        <v>758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759</v>
      </c>
      <c r="B746" s="21" t="s">
        <v>760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759</v>
      </c>
      <c r="B747" s="21" t="s">
        <v>761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759</v>
      </c>
      <c r="B748" s="21" t="s">
        <v>762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759</v>
      </c>
      <c r="B749" s="21" t="s">
        <v>763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759</v>
      </c>
      <c r="B750" s="21" t="s">
        <v>764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759</v>
      </c>
      <c r="B751" s="21" t="s">
        <v>765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759</v>
      </c>
      <c r="B752" s="21" t="s">
        <v>766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759</v>
      </c>
      <c r="B753" s="21" t="s">
        <v>767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759</v>
      </c>
      <c r="B754" s="21" t="s">
        <v>768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759</v>
      </c>
      <c r="B755" s="21" t="s">
        <v>769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759</v>
      </c>
      <c r="B756" s="21" t="s">
        <v>770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759</v>
      </c>
      <c r="B757" s="21" t="s">
        <v>771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759</v>
      </c>
      <c r="B758" s="21" t="s">
        <v>772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759</v>
      </c>
      <c r="B759" s="21" t="s">
        <v>773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759</v>
      </c>
      <c r="B760" s="21" t="s">
        <v>774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775</v>
      </c>
      <c r="B761" s="23" t="s">
        <v>776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775</v>
      </c>
      <c r="B762" s="23" t="s">
        <v>777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775</v>
      </c>
      <c r="B763" s="23" t="s">
        <v>778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775</v>
      </c>
      <c r="B764" s="23" t="s">
        <v>779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775</v>
      </c>
      <c r="B765" s="23" t="s">
        <v>780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775</v>
      </c>
      <c r="B766" s="23" t="s">
        <v>781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775</v>
      </c>
      <c r="B767" s="23" t="s">
        <v>782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775</v>
      </c>
      <c r="B768" s="23" t="s">
        <v>783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775</v>
      </c>
      <c r="B769" s="23" t="s">
        <v>784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775</v>
      </c>
      <c r="B770" s="23" t="s">
        <v>785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775</v>
      </c>
      <c r="B771" s="23" t="s">
        <v>786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775</v>
      </c>
      <c r="B772" s="23" t="s">
        <v>787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775</v>
      </c>
      <c r="B773" s="23" t="s">
        <v>788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775</v>
      </c>
      <c r="B774" s="23" t="s">
        <v>789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775</v>
      </c>
      <c r="B775" s="23" t="s">
        <v>790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775</v>
      </c>
      <c r="B776" s="23" t="s">
        <v>791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775</v>
      </c>
      <c r="B777" s="23" t="s">
        <v>792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775</v>
      </c>
      <c r="B778" s="23" t="s">
        <v>793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775</v>
      </c>
      <c r="B779" s="23" t="s">
        <v>794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775</v>
      </c>
      <c r="B780" s="23" t="s">
        <v>795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775</v>
      </c>
      <c r="B781" s="23" t="s">
        <v>796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775</v>
      </c>
      <c r="B782" s="23" t="s">
        <v>797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775</v>
      </c>
      <c r="B783" s="21" t="s">
        <v>798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775</v>
      </c>
      <c r="B784" s="21" t="s">
        <v>799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775</v>
      </c>
      <c r="B785" s="21" t="s">
        <v>800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775</v>
      </c>
      <c r="B786" s="21" t="s">
        <v>801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775</v>
      </c>
      <c r="B787" s="21" t="s">
        <v>802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775</v>
      </c>
      <c r="B788" s="21" t="s">
        <v>803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775</v>
      </c>
      <c r="B789" s="21" t="s">
        <v>804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775</v>
      </c>
      <c r="B790" s="21" t="s">
        <v>805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775</v>
      </c>
      <c r="B791" s="16" t="s">
        <v>806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775</v>
      </c>
      <c r="B792" s="16" t="s">
        <v>807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775</v>
      </c>
      <c r="B793" s="16" t="s">
        <v>808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809</v>
      </c>
      <c r="B795" s="21" t="s">
        <v>810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809</v>
      </c>
      <c r="B796" s="21" t="s">
        <v>811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809</v>
      </c>
      <c r="B797" s="21" t="s">
        <v>812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809</v>
      </c>
      <c r="B798" s="21" t="s">
        <v>813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809</v>
      </c>
      <c r="B799" s="21" t="s">
        <v>814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809</v>
      </c>
      <c r="B800" s="21" t="s">
        <v>815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809</v>
      </c>
      <c r="B801" s="21" t="s">
        <v>816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809</v>
      </c>
      <c r="B802" s="21" t="s">
        <v>817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809</v>
      </c>
      <c r="B803" s="21" t="s">
        <v>818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809</v>
      </c>
      <c r="B804" s="21" t="s">
        <v>819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809</v>
      </c>
      <c r="B805" s="21" t="s">
        <v>820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809</v>
      </c>
      <c r="B806" s="16" t="s">
        <v>821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809</v>
      </c>
      <c r="B807" s="16" t="s">
        <v>822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809</v>
      </c>
      <c r="B808" s="16" t="s">
        <v>823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809</v>
      </c>
      <c r="B809" s="16" t="s">
        <v>824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809</v>
      </c>
      <c r="B810" s="21" t="s">
        <v>825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809</v>
      </c>
      <c r="B811" s="21" t="s">
        <v>826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809</v>
      </c>
      <c r="B812" s="21" t="s">
        <v>827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809</v>
      </c>
      <c r="B813" s="21" t="s">
        <v>828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809</v>
      </c>
      <c r="B814" s="21" t="s">
        <v>829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809</v>
      </c>
      <c r="B815" s="21" t="s">
        <v>830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809</v>
      </c>
      <c r="B816" s="16" t="s">
        <v>831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809</v>
      </c>
      <c r="B817" s="16" t="s">
        <v>832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809</v>
      </c>
      <c r="B818" s="16" t="s">
        <v>833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809</v>
      </c>
      <c r="B819" s="16" t="s">
        <v>834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809</v>
      </c>
      <c r="B820" s="16" t="s">
        <v>835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809</v>
      </c>
      <c r="B821" s="16" t="s">
        <v>836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809</v>
      </c>
      <c r="B822" s="16" t="s">
        <v>837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809</v>
      </c>
      <c r="B823" s="16" t="s">
        <v>838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809</v>
      </c>
      <c r="B824" s="16" t="s">
        <v>839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809</v>
      </c>
      <c r="B825" s="16" t="s">
        <v>840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809</v>
      </c>
      <c r="B826" s="16" t="s">
        <v>841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809</v>
      </c>
      <c r="B827" s="16" t="s">
        <v>842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809</v>
      </c>
      <c r="B828" s="16" t="s">
        <v>843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809</v>
      </c>
      <c r="B829" s="16" t="s">
        <v>844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809</v>
      </c>
      <c r="B830" s="16" t="s">
        <v>845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809</v>
      </c>
      <c r="B831" s="16" t="s">
        <v>846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809</v>
      </c>
      <c r="B832" s="16" t="s">
        <v>847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809</v>
      </c>
      <c r="B833" s="16" t="s">
        <v>848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809</v>
      </c>
      <c r="B834" s="16" t="s">
        <v>849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809</v>
      </c>
      <c r="B835" s="16" t="s">
        <v>850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809</v>
      </c>
      <c r="B836" s="16" t="s">
        <v>851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809</v>
      </c>
      <c r="B837" s="16" t="s">
        <v>852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809</v>
      </c>
      <c r="B838" s="16" t="s">
        <v>853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809</v>
      </c>
      <c r="B839" s="16" t="s">
        <v>854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809</v>
      </c>
      <c r="B840" s="16" t="s">
        <v>855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809</v>
      </c>
      <c r="B841" s="16" t="s">
        <v>856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809</v>
      </c>
      <c r="B842" s="16" t="s">
        <v>857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809</v>
      </c>
      <c r="B843" s="16" t="s">
        <v>858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809</v>
      </c>
      <c r="B844" s="16" t="s">
        <v>859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809</v>
      </c>
      <c r="B845" s="16" t="s">
        <v>860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809</v>
      </c>
      <c r="B846" s="16" t="s">
        <v>861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809</v>
      </c>
      <c r="B847" s="16" t="s">
        <v>862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809</v>
      </c>
      <c r="B848" s="16" t="s">
        <v>863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809</v>
      </c>
      <c r="B849" s="16" t="s">
        <v>864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865</v>
      </c>
      <c r="B851" s="21" t="s">
        <v>866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865</v>
      </c>
      <c r="B852" s="21" t="s">
        <v>867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865</v>
      </c>
      <c r="B853" s="21" t="s">
        <v>868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865</v>
      </c>
      <c r="B854" s="21" t="s">
        <v>869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865</v>
      </c>
      <c r="B855" s="21" t="s">
        <v>870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865</v>
      </c>
      <c r="B856" s="21" t="s">
        <v>871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872</v>
      </c>
      <c r="B858" s="21" t="s">
        <v>873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872</v>
      </c>
      <c r="B859" s="21" t="s">
        <v>874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872</v>
      </c>
      <c r="B860" s="16" t="s">
        <v>875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872</v>
      </c>
      <c r="B861" s="16" t="s">
        <v>876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872</v>
      </c>
      <c r="B862" s="16" t="s">
        <v>877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872</v>
      </c>
      <c r="B863" s="16" t="s">
        <v>878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872</v>
      </c>
      <c r="B864" s="16" t="s">
        <v>879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872</v>
      </c>
      <c r="B865" s="21" t="s">
        <v>880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872</v>
      </c>
      <c r="B866" s="21" t="s">
        <v>881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872</v>
      </c>
      <c r="B867" s="21" t="s">
        <v>882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872</v>
      </c>
      <c r="B868" s="21" t="s">
        <v>883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872</v>
      </c>
      <c r="B869" s="21" t="s">
        <v>884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872</v>
      </c>
      <c r="B870" s="21" t="s">
        <v>885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872</v>
      </c>
      <c r="B871" s="21" t="s">
        <v>886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872</v>
      </c>
      <c r="B872" s="21" t="s">
        <v>887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872</v>
      </c>
      <c r="B873" s="21" t="s">
        <v>888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872</v>
      </c>
      <c r="B874" s="21" t="s">
        <v>889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872</v>
      </c>
      <c r="B875" s="21" t="s">
        <v>890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872</v>
      </c>
      <c r="B876" s="16" t="s">
        <v>891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872</v>
      </c>
      <c r="B877" s="21" t="s">
        <v>892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872</v>
      </c>
      <c r="B878" s="21" t="s">
        <v>893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872</v>
      </c>
      <c r="B879" s="21" t="s">
        <v>894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872</v>
      </c>
      <c r="B880" s="21" t="s">
        <v>895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872</v>
      </c>
      <c r="B881" s="21" t="s">
        <v>896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872</v>
      </c>
      <c r="B882" s="21" t="s">
        <v>897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872</v>
      </c>
      <c r="B883" s="21" t="s">
        <v>898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872</v>
      </c>
      <c r="B884" s="21" t="s">
        <v>899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872</v>
      </c>
      <c r="B885" s="21" t="s">
        <v>900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901</v>
      </c>
      <c r="B887" s="16" t="s">
        <v>902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901</v>
      </c>
      <c r="B888" s="16" t="s">
        <v>903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901</v>
      </c>
      <c r="B889" s="16" t="s">
        <v>904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901</v>
      </c>
      <c r="B890" s="21" t="s">
        <v>905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901</v>
      </c>
      <c r="B891" s="21" t="s">
        <v>906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901</v>
      </c>
      <c r="B892" s="21" t="s">
        <v>907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901</v>
      </c>
      <c r="B893" s="21" t="s">
        <v>908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901</v>
      </c>
      <c r="B894" s="21" t="s">
        <v>909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901</v>
      </c>
      <c r="B895" s="21" t="s">
        <v>910</v>
      </c>
      <c r="C895" s="21" t="str">
        <f t="shared" si="26"/>
        <v>SOLAREDGE SE6000</v>
      </c>
      <c r="D895" s="18" t="s">
        <v>246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901</v>
      </c>
      <c r="B896" s="21" t="s">
        <v>911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901</v>
      </c>
      <c r="B897" s="21" t="s">
        <v>912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901</v>
      </c>
      <c r="B898" s="21" t="s">
        <v>913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901</v>
      </c>
      <c r="B899" s="21" t="s">
        <v>914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901</v>
      </c>
      <c r="B900" s="21" t="s">
        <v>915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901</v>
      </c>
      <c r="B901" s="21" t="s">
        <v>916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901</v>
      </c>
      <c r="B902" s="21" t="s">
        <v>917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901</v>
      </c>
      <c r="B903" s="21" t="s">
        <v>918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901</v>
      </c>
      <c r="B904" s="16" t="s">
        <v>919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901</v>
      </c>
      <c r="B905" s="16" t="s">
        <v>920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901</v>
      </c>
      <c r="B906" s="16" t="s">
        <v>921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901</v>
      </c>
      <c r="B907" s="16" t="s">
        <v>922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901</v>
      </c>
      <c r="B908" s="16" t="s">
        <v>923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901</v>
      </c>
      <c r="B909" s="21" t="s">
        <v>924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901</v>
      </c>
      <c r="B910" s="21" t="s">
        <v>925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901</v>
      </c>
      <c r="B911" s="21" t="s">
        <v>926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901</v>
      </c>
      <c r="B912" s="21" t="s">
        <v>927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901</v>
      </c>
      <c r="B913" s="21" t="s">
        <v>928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901</v>
      </c>
      <c r="B914" s="21" t="s">
        <v>929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901</v>
      </c>
      <c r="B915" s="21" t="s">
        <v>930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901</v>
      </c>
      <c r="B916" s="21" t="s">
        <v>931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901</v>
      </c>
      <c r="B917" s="16" t="s">
        <v>932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901</v>
      </c>
      <c r="B918" s="21" t="s">
        <v>933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901</v>
      </c>
      <c r="B919" s="16" t="s">
        <v>934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901</v>
      </c>
      <c r="B920" s="16" t="s">
        <v>935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901</v>
      </c>
      <c r="B921" s="16" t="s">
        <v>936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901</v>
      </c>
      <c r="B922" s="16" t="s">
        <v>937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901</v>
      </c>
      <c r="B923" s="16" t="s">
        <v>938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901</v>
      </c>
      <c r="B924" s="16" t="s">
        <v>939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901</v>
      </c>
      <c r="B925" s="16" t="s">
        <v>940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941</v>
      </c>
      <c r="B927" s="21" t="s">
        <v>942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941</v>
      </c>
      <c r="B928" s="21" t="s">
        <v>943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941</v>
      </c>
      <c r="B929" s="21" t="s">
        <v>944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941</v>
      </c>
      <c r="B930" s="21" t="s">
        <v>945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941</v>
      </c>
      <c r="B931" s="21" t="s">
        <v>946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941</v>
      </c>
      <c r="B932" s="21" t="s">
        <v>947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941</v>
      </c>
      <c r="B933" s="21" t="s">
        <v>948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941</v>
      </c>
      <c r="B934" s="21" t="s">
        <v>949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941</v>
      </c>
      <c r="B935" s="33" t="s">
        <v>950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941</v>
      </c>
      <c r="B936" s="21" t="s">
        <v>951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941</v>
      </c>
      <c r="B937" s="21" t="s">
        <v>952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941</v>
      </c>
      <c r="B938" s="21" t="s">
        <v>953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941</v>
      </c>
      <c r="B939" s="21" t="s">
        <v>954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941</v>
      </c>
      <c r="B940" s="21" t="s">
        <v>955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941</v>
      </c>
      <c r="B941" s="21" t="s">
        <v>956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941</v>
      </c>
      <c r="B942" s="21" t="s">
        <v>957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941</v>
      </c>
      <c r="B943" s="21" t="s">
        <v>958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941</v>
      </c>
      <c r="B944" s="21" t="s">
        <v>959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941</v>
      </c>
      <c r="B945" s="21" t="s">
        <v>960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941</v>
      </c>
      <c r="B946" s="21" t="s">
        <v>961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941</v>
      </c>
      <c r="B947" s="21" t="s">
        <v>962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941</v>
      </c>
      <c r="B948" s="21" t="s">
        <v>963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941</v>
      </c>
      <c r="B949" s="21" t="s">
        <v>964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941</v>
      </c>
      <c r="B950" s="21" t="s">
        <v>965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941</v>
      </c>
      <c r="B951" s="21" t="s">
        <v>966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941</v>
      </c>
      <c r="B952" s="21" t="s">
        <v>967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941</v>
      </c>
      <c r="B953" s="21" t="s">
        <v>968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941</v>
      </c>
      <c r="B954" s="21" t="s">
        <v>969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941</v>
      </c>
      <c r="B955" s="21" t="s">
        <v>970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941</v>
      </c>
      <c r="B956" s="21" t="s">
        <v>971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941</v>
      </c>
      <c r="B957" s="21" t="s">
        <v>972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941</v>
      </c>
      <c r="B958" s="21" t="s">
        <v>973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941</v>
      </c>
      <c r="B959" s="21" t="s">
        <v>974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941</v>
      </c>
      <c r="B960" s="21" t="s">
        <v>975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941</v>
      </c>
      <c r="B961" s="16" t="s">
        <v>976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941</v>
      </c>
      <c r="B962" s="16" t="s">
        <v>977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941</v>
      </c>
      <c r="B963" s="16" t="s">
        <v>978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941</v>
      </c>
      <c r="B964" s="21" t="s">
        <v>979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941</v>
      </c>
      <c r="B965" s="21" t="s">
        <v>980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941</v>
      </c>
      <c r="B966" s="21" t="s">
        <v>981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941</v>
      </c>
      <c r="B967" s="34" t="s">
        <v>982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941</v>
      </c>
      <c r="B968" s="21" t="s">
        <v>983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941</v>
      </c>
      <c r="B969" s="21" t="s">
        <v>984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941</v>
      </c>
      <c r="B970" s="21" t="s">
        <v>985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941</v>
      </c>
      <c r="B971" s="21" t="s">
        <v>986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941</v>
      </c>
      <c r="B972" s="21" t="s">
        <v>987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941</v>
      </c>
      <c r="B973" s="21" t="s">
        <v>988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941</v>
      </c>
      <c r="B974" s="21" t="s">
        <v>989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941</v>
      </c>
      <c r="B975" s="21" t="s">
        <v>990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941</v>
      </c>
      <c r="B976" s="21" t="s">
        <v>991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941</v>
      </c>
      <c r="B977" s="21" t="s">
        <v>992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941</v>
      </c>
      <c r="B978" s="21" t="s">
        <v>993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941</v>
      </c>
      <c r="B979" s="21" t="s">
        <v>994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941</v>
      </c>
      <c r="B980" s="21" t="s">
        <v>995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941</v>
      </c>
      <c r="B981" s="21" t="s">
        <v>996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941</v>
      </c>
      <c r="B982" s="16" t="s">
        <v>997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941</v>
      </c>
      <c r="B983" s="16" t="s">
        <v>998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941</v>
      </c>
      <c r="B984" s="21" t="s">
        <v>999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941</v>
      </c>
      <c r="B985" s="21" t="s">
        <v>1000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941</v>
      </c>
      <c r="B986" s="21" t="s">
        <v>1001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941</v>
      </c>
      <c r="B987" s="21" t="s">
        <v>1002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941</v>
      </c>
      <c r="B988" s="16" t="s">
        <v>1003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941</v>
      </c>
      <c r="B989" s="16" t="s">
        <v>1004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941</v>
      </c>
      <c r="B990" s="16" t="s">
        <v>1005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941</v>
      </c>
      <c r="B991" s="16" t="s">
        <v>1006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941</v>
      </c>
      <c r="B992" s="16" t="s">
        <v>1007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941</v>
      </c>
      <c r="B993" s="16" t="s">
        <v>1008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941</v>
      </c>
      <c r="B994" s="21" t="s">
        <v>1009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941</v>
      </c>
      <c r="B995" s="21" t="s">
        <v>1010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941</v>
      </c>
      <c r="B996" s="21" t="s">
        <v>1011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941</v>
      </c>
      <c r="B997" s="21" t="s">
        <v>1012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941</v>
      </c>
      <c r="B998" s="21" t="s">
        <v>1013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941</v>
      </c>
      <c r="B999" s="21" t="s">
        <v>1014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941</v>
      </c>
      <c r="B1000" s="21" t="s">
        <v>1015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941</v>
      </c>
      <c r="B1001" s="21" t="s">
        <v>1016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941</v>
      </c>
      <c r="B1002" s="21" t="s">
        <v>1017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941</v>
      </c>
      <c r="B1003" s="21" t="s">
        <v>1018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941</v>
      </c>
      <c r="B1004" s="21" t="s">
        <v>1019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941</v>
      </c>
      <c r="B1005" s="21" t="s">
        <v>1020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941</v>
      </c>
      <c r="B1006" s="21" t="s">
        <v>1021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941</v>
      </c>
      <c r="B1007" s="21" t="s">
        <v>1022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941</v>
      </c>
      <c r="B1008" s="21" t="s">
        <v>1023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941</v>
      </c>
      <c r="B1009" s="21" t="s">
        <v>1024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941</v>
      </c>
      <c r="B1010" s="21" t="s">
        <v>1025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941</v>
      </c>
      <c r="B1011" s="21" t="s">
        <v>1026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941</v>
      </c>
      <c r="B1012" s="21" t="s">
        <v>1027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941</v>
      </c>
      <c r="B1013" s="21" t="s">
        <v>1028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941</v>
      </c>
      <c r="B1014" s="21" t="s">
        <v>1029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941</v>
      </c>
      <c r="B1015" s="21" t="s">
        <v>1030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941</v>
      </c>
      <c r="B1016" s="16" t="s">
        <v>1031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941</v>
      </c>
      <c r="B1017" s="16" t="s">
        <v>1032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941</v>
      </c>
      <c r="B1018" s="16" t="s">
        <v>1033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941</v>
      </c>
      <c r="B1019" s="16" t="s">
        <v>1034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941</v>
      </c>
      <c r="B1020" s="16" t="s">
        <v>1035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941</v>
      </c>
      <c r="B1021" s="16" t="s">
        <v>1036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941</v>
      </c>
      <c r="B1022" s="16" t="s">
        <v>1037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941</v>
      </c>
      <c r="B1023" s="16" t="s">
        <v>1038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941</v>
      </c>
      <c r="B1024" s="16" t="s">
        <v>1039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941</v>
      </c>
      <c r="B1025" s="16" t="s">
        <v>1040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941</v>
      </c>
      <c r="B1026" s="16" t="s">
        <v>1041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941</v>
      </c>
      <c r="B1027" s="16" t="s">
        <v>1042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941</v>
      </c>
      <c r="B1028" s="16" t="s">
        <v>1043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941</v>
      </c>
      <c r="B1029" s="16" t="s">
        <v>1044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941</v>
      </c>
      <c r="B1030" s="16" t="s">
        <v>1045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941</v>
      </c>
      <c r="B1031" s="16" t="s">
        <v>1046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1047</v>
      </c>
      <c r="B1033" s="16" t="s">
        <v>1048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1047</v>
      </c>
      <c r="B1034" s="16" t="s">
        <v>1049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1047</v>
      </c>
      <c r="B1035" s="16" t="s">
        <v>1050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1047</v>
      </c>
      <c r="B1036" s="16" t="s">
        <v>1051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1047</v>
      </c>
      <c r="B1037" s="16" t="s">
        <v>1052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1047</v>
      </c>
      <c r="B1038" s="16" t="s">
        <v>1053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1047</v>
      </c>
      <c r="B1039" s="16" t="s">
        <v>1054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1047</v>
      </c>
      <c r="B1040" s="16" t="s">
        <v>1055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1047</v>
      </c>
      <c r="B1041" s="16" t="s">
        <v>1056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1047</v>
      </c>
      <c r="B1042" s="16" t="s">
        <v>1057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1047</v>
      </c>
      <c r="B1043" s="16" t="s">
        <v>1058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1047</v>
      </c>
      <c r="B1044" s="16" t="s">
        <v>1059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1047</v>
      </c>
      <c r="B1045" s="21" t="s">
        <v>1060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1047</v>
      </c>
      <c r="B1046" s="21" t="s">
        <v>1061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1047</v>
      </c>
      <c r="B1047" s="21" t="s">
        <v>1062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1047</v>
      </c>
      <c r="B1048" s="21" t="s">
        <v>1063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1047</v>
      </c>
      <c r="B1049" s="21" t="s">
        <v>1064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1047</v>
      </c>
      <c r="B1050" s="21" t="s">
        <v>1065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1047</v>
      </c>
      <c r="B1051" s="21" t="s">
        <v>1066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1047</v>
      </c>
      <c r="B1052" s="21" t="s">
        <v>1067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1047</v>
      </c>
      <c r="B1053" s="21" t="s">
        <v>1068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1047</v>
      </c>
      <c r="B1054" s="21" t="s">
        <v>1069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1047</v>
      </c>
      <c r="B1055" s="21" t="s">
        <v>1070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1047</v>
      </c>
      <c r="B1056" s="21" t="s">
        <v>1071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1047</v>
      </c>
      <c r="B1057" s="21" t="s">
        <v>1072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1047</v>
      </c>
      <c r="B1058" s="21" t="s">
        <v>1073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1047</v>
      </c>
      <c r="B1059" s="21" t="s">
        <v>1074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1047</v>
      </c>
      <c r="B1060" s="21" t="s">
        <v>1075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1047</v>
      </c>
      <c r="B1061" s="21" t="s">
        <v>1076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1047</v>
      </c>
      <c r="B1062" s="21" t="s">
        <v>1077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1047</v>
      </c>
      <c r="B1063" s="21" t="s">
        <v>1078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1047</v>
      </c>
      <c r="B1064" s="21" t="s">
        <v>1079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1047</v>
      </c>
      <c r="B1065" s="21" t="s">
        <v>1080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1047</v>
      </c>
      <c r="B1066" s="21" t="s">
        <v>1081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1047</v>
      </c>
      <c r="B1067" s="21" t="s">
        <v>1082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1047</v>
      </c>
      <c r="B1068" s="21" t="s">
        <v>1083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1047</v>
      </c>
      <c r="B1069" s="21" t="s">
        <v>1084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1047</v>
      </c>
      <c r="B1070" s="21" t="s">
        <v>1085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1047</v>
      </c>
      <c r="B1071" s="21" t="s">
        <v>1086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1047</v>
      </c>
      <c r="B1072" s="21" t="s">
        <v>1087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1047</v>
      </c>
      <c r="B1073" s="21" t="s">
        <v>1088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1047</v>
      </c>
      <c r="B1074" s="21" t="s">
        <v>1089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1047</v>
      </c>
      <c r="B1075" s="21" t="s">
        <v>1090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1047</v>
      </c>
      <c r="B1076" s="21" t="s">
        <v>1091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1047</v>
      </c>
      <c r="B1077" s="21" t="s">
        <v>1092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1093</v>
      </c>
      <c r="B1079" s="21" t="s">
        <v>1094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1093</v>
      </c>
      <c r="B1080" s="21" t="s">
        <v>1095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1093</v>
      </c>
      <c r="B1081" s="21" t="s">
        <v>1096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1093</v>
      </c>
      <c r="B1082" s="21" t="s">
        <v>1097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1093</v>
      </c>
      <c r="B1083" s="21" t="s">
        <v>1098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1099</v>
      </c>
      <c r="B1085" s="16" t="s">
        <v>1100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1099</v>
      </c>
      <c r="B1086" s="16" t="s">
        <v>1101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1099</v>
      </c>
      <c r="B1087" s="16" t="s">
        <v>1102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1099</v>
      </c>
      <c r="B1088" s="16" t="s">
        <v>1103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1099</v>
      </c>
      <c r="B1089" s="16" t="s">
        <v>1104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1099</v>
      </c>
      <c r="B1090" s="16" t="s">
        <v>1105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1099</v>
      </c>
      <c r="B1091" s="16" t="s">
        <v>1106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1099</v>
      </c>
      <c r="B1092" s="16" t="s">
        <v>1107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1099</v>
      </c>
      <c r="B1093" s="16" t="s">
        <v>1108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1099</v>
      </c>
      <c r="B1094" s="16" t="s">
        <v>1109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1099</v>
      </c>
      <c r="B1095" s="16" t="s">
        <v>1110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1099</v>
      </c>
      <c r="B1096" s="16" t="s">
        <v>1111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1099</v>
      </c>
      <c r="B1097" s="16" t="s">
        <v>1112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1099</v>
      </c>
      <c r="B1098" s="16" t="s">
        <v>1113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1099</v>
      </c>
      <c r="B1099" s="16" t="s">
        <v>1114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1099</v>
      </c>
      <c r="B1100" s="16" t="s">
        <v>1115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1099</v>
      </c>
      <c r="B1101" s="16" t="s">
        <v>1116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1099</v>
      </c>
      <c r="B1102" s="16" t="s">
        <v>1117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1099</v>
      </c>
      <c r="B1103" s="16" t="s">
        <v>1118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1099</v>
      </c>
      <c r="B1104" s="16" t="s">
        <v>1119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1099</v>
      </c>
      <c r="B1105" s="21" t="s">
        <v>1120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1099</v>
      </c>
      <c r="B1106" s="21" t="s">
        <v>1121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1099</v>
      </c>
      <c r="B1107" s="16" t="s">
        <v>1122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1099</v>
      </c>
      <c r="B1108" s="16" t="s">
        <v>1123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1099</v>
      </c>
      <c r="B1109" s="21" t="s">
        <v>1124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1099</v>
      </c>
      <c r="B1110" s="21" t="s">
        <v>1125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1099</v>
      </c>
      <c r="B1111" s="21" t="s">
        <v>1126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1099</v>
      </c>
      <c r="B1112" s="21" t="s">
        <v>1127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1099</v>
      </c>
      <c r="B1113" s="21" t="s">
        <v>1128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1099</v>
      </c>
      <c r="B1114" s="16" t="s">
        <v>1129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1099</v>
      </c>
      <c r="B1115" s="21" t="s">
        <v>1130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1099</v>
      </c>
      <c r="B1116" s="16" t="s">
        <v>1131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1099</v>
      </c>
      <c r="B1117" s="16" t="s">
        <v>1132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1099</v>
      </c>
      <c r="B1118" s="16" t="s">
        <v>1133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1099</v>
      </c>
      <c r="B1119" s="16" t="s">
        <v>1134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1099</v>
      </c>
      <c r="B1120" s="16" t="s">
        <v>1135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1099</v>
      </c>
      <c r="B1121" s="16" t="s">
        <v>1136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1099</v>
      </c>
      <c r="B1122" s="16" t="s">
        <v>1137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1138</v>
      </c>
      <c r="B1124" s="21" t="s">
        <v>1139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1138</v>
      </c>
      <c r="B1125" s="21" t="s">
        <v>1140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1138</v>
      </c>
      <c r="B1126" s="21" t="s">
        <v>1141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1138</v>
      </c>
      <c r="B1127" s="21" t="s">
        <v>1142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1138</v>
      </c>
      <c r="B1128" s="21" t="s">
        <v>1143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1138</v>
      </c>
      <c r="B1129" s="21" t="s">
        <v>1144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1138</v>
      </c>
      <c r="B1130" s="21" t="s">
        <v>1145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1138</v>
      </c>
      <c r="B1131" s="21" t="s">
        <v>1146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1138</v>
      </c>
      <c r="B1132" s="21" t="s">
        <v>1147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1138</v>
      </c>
      <c r="B1133" s="21" t="s">
        <v>1148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1138</v>
      </c>
      <c r="B1134" s="21" t="s">
        <v>1149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1138</v>
      </c>
      <c r="B1135" s="21" t="s">
        <v>1150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1138</v>
      </c>
      <c r="B1136" s="21" t="s">
        <v>1151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1138</v>
      </c>
      <c r="B1137" s="21" t="s">
        <v>1152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1138</v>
      </c>
      <c r="B1138" s="21" t="s">
        <v>1153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1138</v>
      </c>
      <c r="B1139" s="21" t="s">
        <v>1154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1138</v>
      </c>
      <c r="B1140" s="21" t="s">
        <v>1155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1138</v>
      </c>
      <c r="B1141" s="21" t="s">
        <v>1156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1138</v>
      </c>
      <c r="B1142" s="21" t="s">
        <v>1157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1138</v>
      </c>
      <c r="B1143" s="21" t="s">
        <v>1158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1138</v>
      </c>
      <c r="B1144" s="21" t="s">
        <v>1159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1138</v>
      </c>
      <c r="B1145" s="21" t="s">
        <v>1160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1161</v>
      </c>
      <c r="B1147" s="21" t="s">
        <v>1162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1161</v>
      </c>
      <c r="B1148" s="21" t="s">
        <v>1163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1161</v>
      </c>
      <c r="B1149" s="21" t="s">
        <v>1164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1161</v>
      </c>
      <c r="B1150" s="21" t="s">
        <v>1165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1161</v>
      </c>
      <c r="B1151" s="21" t="s">
        <v>1166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1161</v>
      </c>
      <c r="B1152" s="21" t="s">
        <v>1167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1161</v>
      </c>
      <c r="B1153" s="21" t="s">
        <v>1168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1161</v>
      </c>
      <c r="B1154" s="21" t="s">
        <v>1169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1170</v>
      </c>
      <c r="B1156" s="21" t="s">
        <v>1171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1170</v>
      </c>
      <c r="B1157" s="21" t="s">
        <v>1172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1170</v>
      </c>
      <c r="B1158" s="21" t="s">
        <v>1173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1170</v>
      </c>
      <c r="B1159" s="21" t="s">
        <v>1174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1170</v>
      </c>
      <c r="B1160" s="21" t="s">
        <v>1175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1170</v>
      </c>
      <c r="B1161" s="21" t="s">
        <v>1176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1170</v>
      </c>
      <c r="B1162" s="21" t="s">
        <v>1177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1170</v>
      </c>
      <c r="B1163" s="21" t="s">
        <v>1178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1170</v>
      </c>
      <c r="B1164" s="21" t="s">
        <v>1179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1170</v>
      </c>
      <c r="B1165" s="21" t="s">
        <v>1180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1170</v>
      </c>
      <c r="B1166" s="21" t="s">
        <v>1181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1170</v>
      </c>
      <c r="B1167" s="21" t="s">
        <v>1182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1170</v>
      </c>
      <c r="B1168" s="21" t="s">
        <v>1183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1170</v>
      </c>
      <c r="B1169" s="21" t="s">
        <v>1184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1170</v>
      </c>
      <c r="B1170" s="21" t="s">
        <v>1185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1170</v>
      </c>
      <c r="B1171" s="21" t="s">
        <v>1186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1170</v>
      </c>
      <c r="B1172" s="21" t="s">
        <v>1187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1170</v>
      </c>
      <c r="B1173" s="21" t="s">
        <v>1188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1170</v>
      </c>
      <c r="B1174" s="21" t="s">
        <v>1189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1170</v>
      </c>
      <c r="B1175" s="21" t="s">
        <v>1190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1191</v>
      </c>
      <c r="B1177" s="21" t="s">
        <v>1192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1191</v>
      </c>
      <c r="B1178" s="21" t="s">
        <v>1193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1191</v>
      </c>
      <c r="B1179" s="21" t="s">
        <v>1194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1191</v>
      </c>
      <c r="B1180" s="21" t="s">
        <v>1195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1191</v>
      </c>
      <c r="B1181" s="21" t="s">
        <v>1196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1191</v>
      </c>
      <c r="B1182" s="21" t="s">
        <v>1197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1191</v>
      </c>
      <c r="B1183" s="21" t="s">
        <v>1198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1191</v>
      </c>
      <c r="B1184" s="21" t="s">
        <v>1199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1200</v>
      </c>
      <c r="B1186" s="21" t="s">
        <v>1201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1200</v>
      </c>
      <c r="B1187" s="21" t="s">
        <v>1202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1200</v>
      </c>
      <c r="B1188" s="21" t="s">
        <v>1203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1204</v>
      </c>
      <c r="B1190" s="21" t="s">
        <v>1205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1204</v>
      </c>
      <c r="B1191" s="21" t="s">
        <v>1206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1204</v>
      </c>
      <c r="B1192" s="21" t="s">
        <v>1207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1204</v>
      </c>
      <c r="B1193" s="21" t="s">
        <v>1208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1204</v>
      </c>
      <c r="B1194" s="21" t="s">
        <v>1209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1204</v>
      </c>
      <c r="B1195" s="21" t="s">
        <v>1210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1204</v>
      </c>
      <c r="B1196" s="21" t="s">
        <v>1211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1204</v>
      </c>
      <c r="B1197" s="21" t="s">
        <v>1212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2023-05-04T20:28:24Z</dcterms:modified>
  <cp:category/>
  <cp:contentStatus/>
</cp:coreProperties>
</file>