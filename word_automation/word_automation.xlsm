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575327\Documents\Áram projekt\suncollector\word_automation\"/>
    </mc:Choice>
  </mc:AlternateContent>
  <xr:revisionPtr revIDLastSave="0" documentId="13_ncr:1_{51B75C8A-C923-461A-AD89-6A2EE9EB000D}" xr6:coauthVersionLast="47" xr6:coauthVersionMax="47" xr10:uidLastSave="{00000000-0000-0000-0000-000000000000}"/>
  <bookViews>
    <workbookView xWindow="-120" yWindow="-120" windowWidth="29040" windowHeight="15720" tabRatio="500" activeTab="2" xr2:uid="{00000000-000D-0000-FFFF-FFFF00000000}"/>
  </bookViews>
  <sheets>
    <sheet name="PANEL" sheetId="1" r:id="rId1"/>
    <sheet name="Magánszemély" sheetId="3" r:id="rId2"/>
    <sheet name="Jogi személy" sheetId="4" r:id="rId3"/>
    <sheet name="_xlwings.conf" sheetId="2" r:id="rId4"/>
    <sheet name="Munka3" sheetId="5" r:id="rId5"/>
    <sheet name="Összesítő" sheetId="6" r:id="rId6"/>
  </sheets>
  <functionGroups builtInGroupCount="19"/>
  <definedNames>
    <definedName name="SheetNames">Munka3!$A$1:$A$2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B5" i="1"/>
  <c r="B4" i="1"/>
  <c r="B3" i="1"/>
  <c r="B2" i="1"/>
  <c r="T3" i="3"/>
  <c r="T2" i="3"/>
  <c r="B7" i="1" a="1"/>
  <c r="B7" i="1" l="1"/>
</calcChain>
</file>

<file path=xl/sharedStrings.xml><?xml version="1.0" encoding="utf-8"?>
<sst xmlns="http://schemas.openxmlformats.org/spreadsheetml/2006/main" count="146" uniqueCount="89">
  <si>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</si>
  <si>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</si>
  <si>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</si>
  <si>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</si>
  <si>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</si>
  <si>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</si>
  <si>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</si>
  <si>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</si>
  <si>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</si>
  <si>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</si>
  <si>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</si>
  <si>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</si>
  <si>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</si>
  <si>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</si>
  <si>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</si>
  <si>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</si>
  <si>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</si>
  <si>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</si>
  <si>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</si>
  <si>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</si>
  <si>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</si>
  <si>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</si>
  <si>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</si>
  <si>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</si>
  <si>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</si>
  <si>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</si>
  <si>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</si>
  <si>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</si>
  <si>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</si>
  <si>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Érintett elszámolási mérő gyári száma:</t>
  </si>
  <si>
    <t>Anyja neve: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</si>
  <si>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</si>
  <si>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</si>
  <si>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</si>
  <si>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</si>
  <si>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</si>
  <si>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</si>
  <si>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</si>
  <si>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</si>
  <si>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</si>
  <si>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</si>
  <si>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</si>
  <si>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</si>
  <si>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</si>
  <si>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</si>
  <si>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</si>
  <si>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</si>
  <si>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</si>
  <si>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</si>
  <si>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</si>
  <si>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</si>
  <si>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</si>
  <si>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</si>
  <si>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</si>
  <si>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</si>
  <si>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</si>
  <si>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</si>
  <si>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</si>
  <si>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</si>
  <si>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</si>
  <si>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</si>
  <si>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</si>
  <si>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</si>
  <si>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</si>
  <si>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</si>
  <si>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</si>
  <si>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</si>
  <si>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</si>
  <si>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</si>
  <si>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</si>
  <si>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Magánszemély</t>
  </si>
  <si>
    <t>Jogi személy</t>
  </si>
  <si>
    <t>3-cégnév-2023</t>
  </si>
  <si>
    <t>fdgjh</t>
  </si>
  <si>
    <t>iktatószám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</si>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</sst>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</numFmts>
  <fonts count="8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2"/>
      <color rgb="FF000000"/>
      <name val="Calibri"/>
      <family val="2"/>
    </font>
    <font>
      <sz val="10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7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1" fontId="2" fillId="0" borderId="1" xfId="0" applyNumberFormat="1" applyFont="1" applyBorder="1" applyAlignment="1">
      <alignment horizontal="center" vertical="center" wrapText="1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58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A1:AA3" totalsRowShown="0" headerRowDxfId="57">
  <autoFilter ref="A1:AA3" xr:uid="{00000000-0009-0000-0100-000001000000}"/>
  <tableColumns count="27">
    <tableColumn id="1" xr3:uid="{00000000-0010-0000-0000-000001000000}" name="Irányítószám" dataDxfId="56"/>
    <tableColumn id="2" xr3:uid="{00000000-0010-0000-0000-000002000000}" name="Település" dataDxfId="55"/>
    <tableColumn id="3" xr3:uid="{00000000-0010-0000-0000-000003000000}" name="Utca, házszám" dataDxfId="54"/>
    <tableColumn id="4" xr3:uid="{00000000-0010-0000-0000-000004000000}" name="Magán/jogi személy" dataDxfId="53"/>
    <tableColumn id="5" xr3:uid="{00000000-0010-0000-0000-000005000000}" name="Rendszerhasználó neve" dataDxfId="52"/>
    <tableColumn id="6" xr3:uid="{00000000-0010-0000-0000-000006000000}" name="Partnerszám" dataDxfId="51"/>
    <tableColumn id="7" xr3:uid="{00000000-0010-0000-0000-000007000000}" name="Felhasználási hely azonsító" dataDxfId="50"/>
    <tableColumn id="8" xr3:uid="{00000000-0010-0000-0000-000008000000}" name="Érintett elszámolási mérő gyári száma" dataDxfId="49"/>
    <tableColumn id="9" xr3:uid="{00000000-0010-0000-0000-000009000000}" name="Születési név" dataDxfId="48"/>
    <tableColumn id="10" xr3:uid="{00000000-0010-0000-0000-00000A000000}" name="Anyja neve:" dataDxfId="47"/>
    <tableColumn id="11" xr3:uid="{00000000-0010-0000-0000-00000B000000}" name="Születési hely, dátum" dataDxfId="46"/>
    <tableColumn id="13" xr3:uid="{00000000-0010-0000-0000-00000D000000}" name="Felhasználó elérhetősége telefon" dataDxfId="45"/>
    <tableColumn id="27" xr3:uid="{6C014752-AD1A-42F9-971A-CDE0D9E95638}" name="Felhasználó elérhetősége e-mail"/>
    <tableColumn id="14" xr3:uid="{00000000-0010-0000-0000-00000E000000}" name="Felhasználási helyen rendelkezésre álló teljesítmény: (pl. 3x32A, vagy 1x32 A)" dataDxfId="44"/>
    <tableColumn id="15" xr3:uid="{00000000-0010-0000-0000-00000F000000}" name="Beépített termelői kapacitás kW-ban" dataDxfId="43"/>
    <tableColumn id="16" xr3:uid="{00000000-0010-0000-0000-000010000000}" name="Termelői kapacitás csatlakoztatása" dataDxfId="42"/>
    <tableColumn id="17" xr3:uid="{00000000-0010-0000-0000-000011000000}" name="Felhasználási helyen alkalmazott érintésvédelmi mód" dataDxfId="41"/>
    <tableColumn id="18" xr3:uid="{00000000-0010-0000-0000-000012000000}" name="DC oldali villamos teljesítménye" dataDxfId="40"/>
    <tableColumn id="19" xr3:uid="{00000000-0010-0000-0000-000013000000}" name="Inverter" dataDxfId="39"/>
    <tableColumn id="20" xr3:uid="{00000000-0010-0000-0000-000014000000}" name="Levelezési cím" dataDxfId="38">
      <calculatedColumnFormula>_xlfn.CONCAT(Táblázat1[[#This Row],[Irányítószám]]," ",Táblázat1[[#This Row],[Település]]," ",Táblázat1[[#This Row],[Utca, házszám]])</calculatedColumnFormula>
    </tableColumn>
    <tableColumn id="21" xr3:uid="{37020403-849C-4AF1-BC78-9CD35DDF964E}" name="IKTATÓ" dataDxfId="12"/>
    <tableColumn id="22" xr3:uid="{390B9DA1-6FF0-4BDE-B787-CB12113A6F6F}" name="Napelem panel" dataDxfId="11"/>
    <tableColumn id="23" xr3:uid="{CAC502AA-5933-4D1E-81B6-AD3A9BC55FF1}" name="AC hossz" dataDxfId="10"/>
    <tableColumn id="24" xr3:uid="{01F873AA-02C3-4F21-96F8-400818FEC3E9}" name="DC hossz" dataDxfId="9"/>
    <tableColumn id="25" xr3:uid="{05F2CB32-A9D5-45A4-910F-D351DD1C59C8}" name="Keresztmetszet AC" dataDxfId="8"/>
    <tableColumn id="28" xr3:uid="{9C355438-2CFC-4F7C-BAC3-F8A81923E018}" name="Keresztmetszet DC" dataDxfId="6"/>
    <tableColumn id="26" xr3:uid="{57A0588F-E8D8-4E8A-9A0C-D0E0FE700307}" name="Kismegszakító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A1:AB2" totalsRowShown="0" dataDxfId="36" headerRowBorderDxfId="37" tableBorderDxfId="35">
  <autoFilter ref="A1:AB2" xr:uid="{00000000-0009-0000-0100-000002000000}"/>
  <tableColumns count="28">
    <tableColumn id="1" xr3:uid="{00000000-0010-0000-0100-000001000000}" name="Irányítószám" dataDxfId="34"/>
    <tableColumn id="2" xr3:uid="{00000000-0010-0000-0100-000002000000}" name="Település" dataDxfId="33"/>
    <tableColumn id="3" xr3:uid="{00000000-0010-0000-0100-000003000000}" name="Utca, házszám" dataDxfId="32"/>
    <tableColumn id="4" xr3:uid="{00000000-0010-0000-0100-000004000000}" name="Magán/jogi személy" dataDxfId="31"/>
    <tableColumn id="5" xr3:uid="{00000000-0010-0000-0100-000005000000}" name="Rendszerhasználó neve" dataDxfId="30"/>
    <tableColumn id="6" xr3:uid="{00000000-0010-0000-0100-000006000000}" name="Partnerszám" dataDxfId="29"/>
    <tableColumn id="7" xr3:uid="{00000000-0010-0000-0100-000007000000}" name="Felhasználási hely azonsító" dataDxfId="28"/>
    <tableColumn id="8" xr3:uid="{00000000-0010-0000-0100-000008000000}" name="Érintett elszámolási mérő gyári száma:" dataDxfId="27"/>
    <tableColumn id="9" xr3:uid="{00000000-0010-0000-0100-000009000000}" name="Jogi személy elnevezése" dataDxfId="26"/>
    <tableColumn id="10" xr3:uid="{00000000-0010-0000-0100-00000A000000}" name="Cégjegyzékszám/statisztikai számjel" dataDxfId="25"/>
    <tableColumn id="11" xr3:uid="{00000000-0010-0000-0100-00000B000000}" name="Adószám" dataDxfId="24"/>
    <tableColumn id="12" xr3:uid="{00000000-0010-0000-0100-00000C000000}" name="Székhely" dataDxfId="23"/>
    <tableColumn id="13" xr3:uid="{00000000-0010-0000-0100-00000D000000}" name="Felhasználó elérhetősége telefon" dataDxfId="22"/>
    <tableColumn id="23" xr3:uid="{63E98711-1761-4899-8A10-FAAA81193032}" name="Felhasználó elérhetősége e-mail" dataDxfId="5"/>
    <tableColumn id="14" xr3:uid="{00000000-0010-0000-0100-00000E000000}" name="Felhasználási helyen rendelkezésre álló teljesítmény: (pl. 3x32A, vagy 1x32 A)" dataDxfId="21"/>
    <tableColumn id="15" xr3:uid="{00000000-0010-0000-0100-00000F000000}" name="Beépített termelői kapacitás kW-ban:" dataDxfId="20"/>
    <tableColumn id="16" xr3:uid="{00000000-0010-0000-0100-000010000000}" name="Termelői kapacitás csatlakoztatása:" dataDxfId="19"/>
    <tableColumn id="17" xr3:uid="{00000000-0010-0000-0100-000011000000}" name="Felhasználási helyen alkalmazott érintésvédelmi mód:" dataDxfId="18"/>
    <tableColumn id="18" xr3:uid="{00000000-0010-0000-0100-000012000000}" name="DC oldali villamos teljesítménye" dataDxfId="17"/>
    <tableColumn id="19" xr3:uid="{00000000-0010-0000-0100-000013000000}" name="Inverter" dataDxfId="16"/>
    <tableColumn id="20" xr3:uid="{00000000-0010-0000-0100-000014000000}" name="Levelezési cím" dataDxfId="15"/>
    <tableColumn id="21" xr3:uid="{00000000-0010-0000-0100-000015000000}" name="IKTATÓ" dataDxfId="14"/>
    <tableColumn id="22" xr3:uid="{00000000-0010-0000-0100-000016000000}" name="Napelem panel" dataDxfId="13">
      <calculatedColumnFormula>CONCATENATE(#REF!,"-cégnév-",(YEAR(TODAY())))</calculatedColumnFormula>
    </tableColumn>
    <tableColumn id="24" xr3:uid="{ABEF66A3-B8FD-4518-B9B4-0C474EC5DAAA}" name="AC hossz" dataDxfId="4"/>
    <tableColumn id="25" xr3:uid="{97303F1F-FE30-4497-92DD-BCA31D40EF71}" name="DC hossz" dataDxfId="3"/>
    <tableColumn id="26" xr3:uid="{32BCFEB9-1530-44EB-8DEF-B169F077E600}" name="Keresztmetszet AC" dataDxfId="2"/>
    <tableColumn id="27" xr3:uid="{726F82AB-D873-47B0-B229-9AB5B7152366}" name="Keresztmetszet DC" dataDxfId="1"/>
    <tableColumn id="28" xr3:uid="{C239DC0D-C033-4024-ACA4-017215C6F4E8}" name="Kismegszakító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workbookViewId="0">
      <selection activeCell="B5" sqref="B5"/>
    </sheetView>
  </sheetViews>
  <sheetFormatPr defaultColWidth="11" defaultRowHeight="15.75" x14ac:dyDescent="0.25"/>
  <cols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45008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3</v>
      </c>
    </row>
    <row r="5" spans="1:2" x14ac:dyDescent="0.25">
      <c r="A5" t="s">
        <v>20</v>
      </c>
      <c r="B5">
        <f ca="1">DAY(TODAY())</f>
        <v>23</v>
      </c>
    </row>
    <row r="6" spans="1:2" x14ac:dyDescent="0.25">
      <c r="A6" t="s">
        <v>74</v>
      </c>
      <c r="B6" s="5" t="s">
        <v>72</v>
      </c>
    </row>
    <row r="7" spans="1:2" x14ac:dyDescent="0.25">
      <c r="A7" t="s">
        <v>22</v>
      </c>
      <c r="B7" t="e">
        <f t="array" aca="1" ref="B7" ca="1">INDIRECT("'"&amp;INDEX(SheetNames,MATCH(1,COUNTIF(INDIRECT("'"&amp;SheetNames&amp;"'!W:W"),$B$6),0))&amp;"'!B:B")</f>
        <v>#N/A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A3"/>
  <sheetViews>
    <sheetView topLeftCell="K1" workbookViewId="0">
      <selection activeCell="L1" sqref="L1:AA1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</cols>
  <sheetData>
    <row r="1" spans="1:27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80</v>
      </c>
      <c r="I1" s="4" t="s">
        <v>81</v>
      </c>
      <c r="J1" s="4" t="s">
        <v>30</v>
      </c>
      <c r="K1" s="4" t="s">
        <v>82</v>
      </c>
      <c r="L1" s="4" t="s">
        <v>83</v>
      </c>
      <c r="M1" s="4" t="s">
        <v>79</v>
      </c>
      <c r="N1" s="4" t="s">
        <v>31</v>
      </c>
      <c r="O1" s="4" t="s">
        <v>84</v>
      </c>
      <c r="P1" s="4" t="s">
        <v>85</v>
      </c>
      <c r="Q1" s="4" t="s">
        <v>86</v>
      </c>
      <c r="R1" s="4" t="s">
        <v>35</v>
      </c>
      <c r="S1" s="4" t="s">
        <v>36</v>
      </c>
      <c r="T1" s="4" t="s">
        <v>37</v>
      </c>
      <c r="U1" s="11" t="s">
        <v>21</v>
      </c>
      <c r="V1" s="11" t="s">
        <v>75</v>
      </c>
      <c r="W1" s="11" t="s">
        <v>76</v>
      </c>
      <c r="X1" s="11" t="s">
        <v>77</v>
      </c>
      <c r="Y1" s="11" t="s">
        <v>87</v>
      </c>
      <c r="Z1" s="11" t="s">
        <v>88</v>
      </c>
      <c r="AA1" s="11" t="s">
        <v>78</v>
      </c>
    </row>
    <row r="2" spans="1:27" x14ac:dyDescent="0.25">
      <c r="A2" s="5">
        <v>8866</v>
      </c>
      <c r="B2" s="5" t="s">
        <v>38</v>
      </c>
      <c r="C2" s="5" t="s">
        <v>39</v>
      </c>
      <c r="D2" s="5" t="s">
        <v>40</v>
      </c>
      <c r="E2" s="5" t="s">
        <v>41</v>
      </c>
      <c r="F2" s="5">
        <v>1000576335</v>
      </c>
      <c r="G2" s="5" t="s">
        <v>42</v>
      </c>
      <c r="H2" s="5" t="s">
        <v>43</v>
      </c>
      <c r="I2" s="5" t="s">
        <v>41</v>
      </c>
      <c r="J2" s="5" t="s">
        <v>44</v>
      </c>
      <c r="K2" s="5" t="s">
        <v>45</v>
      </c>
      <c r="L2" s="5" t="s">
        <v>46</v>
      </c>
      <c r="M2" s="5"/>
      <c r="N2" s="5" t="s">
        <v>47</v>
      </c>
      <c r="O2" s="5">
        <v>10</v>
      </c>
      <c r="P2" s="5" t="s">
        <v>48</v>
      </c>
      <c r="Q2" s="5" t="s">
        <v>49</v>
      </c>
      <c r="R2" s="5">
        <v>10.26</v>
      </c>
      <c r="S2" s="5" t="s">
        <v>50</v>
      </c>
      <c r="T2" s="5" t="str">
        <f>_xlfn.CONCAT(Táblázat1[[#This Row],[Irányítószám]]," ",Táblázat1[[#This Row],[Település]]," ",Táblázat1[[#This Row],[Utca, házszám]])</f>
        <v>8866 Becsehely Vörösmarty utca 280/20</v>
      </c>
      <c r="U2" s="10"/>
      <c r="V2" s="10"/>
      <c r="W2" s="10"/>
      <c r="X2" s="10"/>
      <c r="Y2" s="10"/>
      <c r="Z2" s="10"/>
      <c r="AA2" s="10"/>
    </row>
    <row r="3" spans="1:27" x14ac:dyDescent="0.25">
      <c r="A3" s="5">
        <v>1234</v>
      </c>
      <c r="B3" s="5" t="s">
        <v>51</v>
      </c>
      <c r="C3" s="5" t="s">
        <v>52</v>
      </c>
      <c r="D3" s="5" t="s">
        <v>40</v>
      </c>
      <c r="E3" s="5" t="s">
        <v>53</v>
      </c>
      <c r="F3" s="5">
        <v>1000576336</v>
      </c>
      <c r="G3" s="5" t="s">
        <v>54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str">
        <f>_xlfn.CONCAT(Táblázat1[[#This Row],[Irányítószám]]," ",Táblázat1[[#This Row],[Település]]," ",Táblázat1[[#This Row],[Utca, házszám]])</f>
        <v>1234 Próba kis utca 1</v>
      </c>
      <c r="U3" s="10"/>
      <c r="V3" s="10"/>
      <c r="W3" s="10"/>
      <c r="X3" s="10"/>
      <c r="Y3" s="10"/>
      <c r="Z3" s="10"/>
      <c r="AA3" s="10"/>
    </row>
  </sheetData>
  <dataValidations count="1">
    <dataValidation type="list" allowBlank="1" showInputMessage="1" showErrorMessage="1" sqref="D3" xr:uid="{00000000-0002-0000-01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"/>
  <sheetViews>
    <sheetView tabSelected="1" topLeftCell="K1" workbookViewId="0">
      <selection activeCell="M1" sqref="M1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</cols>
  <sheetData>
    <row r="1" spans="1:28" ht="32.25" thickBot="1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55</v>
      </c>
      <c r="J1" t="s">
        <v>56</v>
      </c>
      <c r="K1" t="s">
        <v>57</v>
      </c>
      <c r="L1" t="s">
        <v>58</v>
      </c>
      <c r="M1" t="s">
        <v>83</v>
      </c>
      <c r="N1" t="s">
        <v>79</v>
      </c>
      <c r="O1" t="s">
        <v>31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s="4" t="s">
        <v>37</v>
      </c>
      <c r="V1" s="11" t="s">
        <v>21</v>
      </c>
      <c r="W1" s="11" t="s">
        <v>75</v>
      </c>
      <c r="X1" s="13" t="s">
        <v>76</v>
      </c>
      <c r="Y1" s="13" t="s">
        <v>77</v>
      </c>
      <c r="Z1" s="13" t="s">
        <v>87</v>
      </c>
      <c r="AA1" s="13" t="s">
        <v>88</v>
      </c>
      <c r="AB1" s="13" t="s">
        <v>78</v>
      </c>
    </row>
    <row r="2" spans="1:28" x14ac:dyDescent="0.25">
      <c r="A2" s="5">
        <v>4220</v>
      </c>
      <c r="B2" s="5" t="s">
        <v>59</v>
      </c>
      <c r="C2" s="5" t="s">
        <v>60</v>
      </c>
      <c r="D2" s="5" t="s">
        <v>61</v>
      </c>
      <c r="E2" s="5" t="s">
        <v>62</v>
      </c>
      <c r="F2" s="5">
        <v>1003469201</v>
      </c>
      <c r="G2" s="5"/>
      <c r="H2" s="5" t="s">
        <v>63</v>
      </c>
      <c r="I2" s="5" t="s">
        <v>64</v>
      </c>
      <c r="J2" s="5">
        <v>5.8907834771223104E+16</v>
      </c>
      <c r="K2" s="5" t="s">
        <v>65</v>
      </c>
      <c r="L2" s="5" t="s">
        <v>66</v>
      </c>
      <c r="M2" s="5" t="s">
        <v>67</v>
      </c>
      <c r="N2" s="5"/>
      <c r="O2" s="5" t="s">
        <v>68</v>
      </c>
      <c r="P2" s="5">
        <v>20</v>
      </c>
      <c r="Q2" s="5" t="s">
        <v>48</v>
      </c>
      <c r="R2" s="5" t="s">
        <v>49</v>
      </c>
      <c r="S2" s="5">
        <v>10.26</v>
      </c>
      <c r="T2" s="5" t="s">
        <v>69</v>
      </c>
      <c r="U2" s="5" t="s">
        <v>58</v>
      </c>
      <c r="V2" s="5" t="s">
        <v>73</v>
      </c>
      <c r="W2" s="5" t="e">
        <f ca="1">CONCATENATE(#REF!,"-cégnév-",(YEAR(TODAY())))</f>
        <v>#REF!</v>
      </c>
      <c r="X2" s="5"/>
      <c r="Y2" s="5"/>
      <c r="Z2" s="5"/>
      <c r="AA2" s="5"/>
      <c r="AB2" s="5"/>
    </row>
  </sheetData>
  <dataValidations count="1">
    <dataValidation type="list" allowBlank="1" showInputMessage="1" showErrorMessage="1" sqref="D2" xr:uid="{00000000-0002-0000-02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2"/>
  <sheetViews>
    <sheetView workbookViewId="0">
      <selection sqref="A1:A2"/>
    </sheetView>
  </sheetViews>
  <sheetFormatPr defaultRowHeight="15.75" x14ac:dyDescent="0.25"/>
  <sheetData>
    <row r="1" spans="1:1" x14ac:dyDescent="0.25">
      <c r="A1" t="s">
        <v>70</v>
      </c>
    </row>
    <row r="2" spans="1:1" x14ac:dyDescent="0.25">
      <c r="A2" t="s">
        <v>71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41C04-BB5A-4B9E-94B1-67A97B98CD80}">
  <sheetPr codeName="Sheet6"/>
  <dimension ref="A1:AE1"/>
  <sheetViews>
    <sheetView workbookViewId="0">
      <selection activeCell="U1" sqref="U1"/>
    </sheetView>
  </sheetViews>
  <sheetFormatPr defaultRowHeight="15.75" x14ac:dyDescent="0.25"/>
  <cols>
    <col min="2" max="2" width="16.625" bestFit="1" customWidth="1"/>
    <col min="3" max="3" width="10.75" bestFit="1" customWidth="1"/>
    <col min="5" max="5" width="11.75" bestFit="1" customWidth="1"/>
    <col min="6" max="6" width="19.25" bestFit="1" customWidth="1"/>
    <col min="7" max="7" width="10.5" bestFit="1" customWidth="1"/>
    <col min="8" max="8" width="22.125" bestFit="1" customWidth="1"/>
    <col min="9" max="9" width="30.5" bestFit="1" customWidth="1"/>
    <col min="13" max="13" width="20.75" bestFit="1" customWidth="1"/>
    <col min="14" max="14" width="30.875" bestFit="1" customWidth="1"/>
    <col min="15" max="15" width="8.125" bestFit="1" customWidth="1"/>
    <col min="16" max="16" width="7.75" bestFit="1" customWidth="1"/>
    <col min="17" max="17" width="21" bestFit="1" customWidth="1"/>
    <col min="18" max="18" width="26.625" bestFit="1" customWidth="1"/>
    <col min="19" max="19" width="32.25" bestFit="1" customWidth="1"/>
    <col min="20" max="20" width="30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7.125" bestFit="1" customWidth="1"/>
    <col min="25" max="25" width="12.125" bestFit="1" customWidth="1"/>
    <col min="26" max="26" width="13.875" bestFit="1" customWidth="1"/>
    <col min="28" max="28" width="8.125" bestFit="1" customWidth="1"/>
    <col min="29" max="30" width="16.5" bestFit="1" customWidth="1"/>
    <col min="31" max="31" width="12.75" bestFit="1" customWidth="1"/>
  </cols>
  <sheetData>
    <row r="1" spans="1:31" ht="45" x14ac:dyDescent="0.25">
      <c r="A1" s="4" t="s">
        <v>21</v>
      </c>
      <c r="B1" s="4" t="s">
        <v>25</v>
      </c>
      <c r="C1" s="4" t="s">
        <v>22</v>
      </c>
      <c r="D1" s="4" t="s">
        <v>23</v>
      </c>
      <c r="E1" s="4" t="s">
        <v>24</v>
      </c>
      <c r="F1" s="4" t="s">
        <v>26</v>
      </c>
      <c r="G1" s="4" t="s">
        <v>27</v>
      </c>
      <c r="H1" s="4" t="s">
        <v>28</v>
      </c>
      <c r="I1" s="4" t="s">
        <v>80</v>
      </c>
      <c r="J1" s="4" t="s">
        <v>81</v>
      </c>
      <c r="K1" s="4" t="s">
        <v>30</v>
      </c>
      <c r="L1" s="4" t="s">
        <v>82</v>
      </c>
      <c r="M1" s="12" t="s">
        <v>55</v>
      </c>
      <c r="N1" s="12" t="s">
        <v>56</v>
      </c>
      <c r="O1" s="12" t="s">
        <v>57</v>
      </c>
      <c r="P1" s="12" t="s">
        <v>58</v>
      </c>
      <c r="Q1" s="4" t="s">
        <v>83</v>
      </c>
      <c r="R1" s="4" t="s">
        <v>79</v>
      </c>
      <c r="S1" s="4" t="s">
        <v>31</v>
      </c>
      <c r="T1" s="4" t="s">
        <v>84</v>
      </c>
      <c r="U1" s="4" t="s">
        <v>85</v>
      </c>
      <c r="V1" s="4" t="s">
        <v>86</v>
      </c>
      <c r="W1" s="4" t="s">
        <v>35</v>
      </c>
      <c r="X1" s="4" t="s">
        <v>36</v>
      </c>
      <c r="Y1" s="4" t="s">
        <v>37</v>
      </c>
      <c r="Z1" s="11" t="s">
        <v>75</v>
      </c>
      <c r="AA1" s="11" t="s">
        <v>76</v>
      </c>
      <c r="AB1" s="11" t="s">
        <v>77</v>
      </c>
      <c r="AC1" s="11" t="s">
        <v>87</v>
      </c>
      <c r="AD1" s="11" t="s">
        <v>88</v>
      </c>
      <c r="AE1" s="11" t="s">
        <v>78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PANEL</vt:lpstr>
      <vt:lpstr>Magánszemély</vt:lpstr>
      <vt:lpstr>Jogi személy</vt:lpstr>
      <vt:lpstr>_xlwings.conf</vt:lpstr>
      <vt:lpstr>Munka3</vt:lpstr>
      <vt:lpstr>Összesítő</vt:lpstr>
      <vt:lpstr>SheetNames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Bertok, Peter</cp:lastModifiedBy>
  <dcterms:created xsi:type="dcterms:W3CDTF">2015-01-25T11:31:25Z</dcterms:created>
  <dcterms:modified xsi:type="dcterms:W3CDTF">2023-03-23T11:09:21Z</dcterms:modified>
  <cp:category/>
  <cp:contentStatus/>
</cp:coreProperties>
</file>