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xr:revisionPtr revIDLastSave="0" documentId="13_ncr:1_{65ECE8A5-BF2C-446A-BE34-C334CB949557}" xr6:coauthVersionLast="47" xr6:coauthVersionMax="47" xr10:uidLastSave="{00000000-0000-0000-0000-000000000000}"/>
  <bookViews>
    <workbookView xWindow="-8220" yWindow="-18090" windowWidth="38700" windowHeight="15345" tabRatio="500" xr2:uid="{00000000-000D-0000-FFFF-FFFF00000000}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9"/>
  <definedNames>
    <definedName name="SheetNam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6" l="1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B39" i="1" l="1"/>
  <c r="B30" i="1"/>
  <c r="AG2" i="6"/>
  <c r="B38" i="1" s="1"/>
  <c r="AF2" i="6"/>
  <c r="AE2" i="6"/>
  <c r="AD2" i="6"/>
  <c r="B35" i="1" s="1"/>
  <c r="AC2" i="6"/>
  <c r="B34" i="1" s="1"/>
  <c r="AB2" i="6"/>
  <c r="B33" i="1" s="1"/>
  <c r="AA2" i="6"/>
  <c r="B32" i="1" s="1"/>
  <c r="Z2" i="6"/>
  <c r="B31" i="1" s="1"/>
  <c r="X2" i="6"/>
  <c r="B29" i="1" s="1"/>
  <c r="W2" i="6"/>
  <c r="B28" i="1" s="1"/>
  <c r="V2" i="6"/>
  <c r="B27" i="1" s="1"/>
  <c r="S2" i="6"/>
  <c r="B25" i="1" s="1"/>
  <c r="R2" i="6"/>
  <c r="B24" i="1" s="1"/>
  <c r="Q2" i="6"/>
  <c r="B23" i="1" s="1"/>
  <c r="B22" i="1"/>
  <c r="P2" i="6"/>
  <c r="O2" i="6"/>
  <c r="N2" i="6"/>
  <c r="B20" i="1" s="1"/>
  <c r="M2" i="6"/>
  <c r="B19" i="1" s="1"/>
  <c r="B18" i="1"/>
  <c r="L2" i="6"/>
  <c r="K2" i="6"/>
  <c r="B17" i="1" s="1"/>
  <c r="J2" i="6"/>
  <c r="B16" i="1" s="1"/>
  <c r="H2" i="6"/>
  <c r="B14" i="1"/>
  <c r="G2" i="6"/>
  <c r="B13" i="1" s="1"/>
  <c r="F2" i="6"/>
  <c r="B12" i="1" s="1"/>
  <c r="E2" i="6"/>
  <c r="B11" i="1"/>
  <c r="D2" i="6"/>
  <c r="B10" i="1" s="1"/>
  <c r="C2" i="6"/>
  <c r="B9" i="1" s="1"/>
  <c r="B8" i="1"/>
  <c r="B2" i="6"/>
  <c r="A2" i="6"/>
  <c r="I2" i="6"/>
  <c r="B15" i="1" s="1"/>
  <c r="B7" i="1"/>
  <c r="B37" i="1"/>
  <c r="B36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B26" i="1" s="1"/>
</calcChain>
</file>

<file path=xl/sharedStrings.xml><?xml version="1.0" encoding="utf-8"?>
<sst xmlns="http://schemas.openxmlformats.org/spreadsheetml/2006/main" count="2491" uniqueCount="1270">
  <si>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</si>
  <si>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</si>
  <si>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</si>
  <si>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</si>
  <si>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</si>
  <si>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</si>
  <si>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</si>
  <si>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</si>
  <si>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</si>
  <si>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</si>
  <si>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</si>
  <si>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</si>
  <si>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</si>
  <si>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</si>
  <si>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</si>
  <si>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</si>
  <si>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</si>
  <si>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</si>
  <si>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</si>
  <si>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</si>
  <si>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</si>
  <si>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</si>
  <si>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</si>
  <si>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</si>
  <si>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</si>
  <si>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</si>
  <si>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</si>
  <si>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</si>
  <si>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</si>
  <si>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</si>
  <si>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</si>
  <si>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</si>
  <si>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</si>
  <si>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</si>
  <si>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</si>
  <si>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</si>
  <si>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</si>
  <si>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</si>
  <si>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</si>
  <si>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</si>
  <si>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</si>
  <si>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</si>
  <si>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</si>
  <si>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</si>
  <si>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</si>
  <si>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</si>
  <si>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</si>
  <si>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</si>
  <si>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</si>
  <si>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</si>
  <si>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</si>
  <si>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</si>
  <si>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</si>
  <si>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</si>
  <si>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</si>
  <si>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</si>
  <si>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</si>
  <si>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</si>
  <si>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</si>
  <si>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</si>
  <si>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</si>
  <si>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</si>
  <si>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</si>
  <si>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</si>
  <si>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</si>
  <si>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</si>
  <si>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</si>
  <si>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</si>
  <si>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</si>
  <si>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</si>
  <si>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</si>
  <si>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</si>
  <si>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</si>
  <si>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</si>
  <si>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</si>
  <si>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</si>
  <si>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</si>
  <si>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</si>
  <si>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</si>
  <si>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</si>
  <si>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</si>
  <si>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</si>
  <si>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</si>
  <si>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</si>
  <si>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</si>
  <si>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</si>
  <si>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</si>
  <si>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</si>
  <si>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</si>
  <si>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</si>
  <si>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</si>
  <si>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</si>
  <si>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</si>
  <si>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</si>
  <si>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</si>
  <si>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</si>
  <si>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</si>
  <si>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</si>
  <si>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</si>
  <si>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</si>
  <si>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</si>
  <si>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</si>
  <si>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</si>
  <si>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</si>
  <si>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</si>
  <si>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</si>
  <si>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</si>
  <si>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</si>
  <si>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</si>
  <si>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</si>
  <si>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</si>
  <si>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</si>
  <si>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</si>
  <si>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</si>
  <si>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</si>
  <si>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</si>
  <si>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</si>
  <si>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</si>
  <si>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</si>
  <si>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</si>
  <si>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</si>
  <si>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</si>
  <si>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</si>
  <si>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</si>
  <si>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</si>
  <si>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</si>
  <si>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</si>
  <si>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</si>
  <si>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</si>
  <si>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</si>
  <si>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</si>
  <si>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</si>
  <si>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</si>
  <si>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</si>
  <si>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</si>
  <si>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</si>
  <si>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</si>
  <si>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</si>
  <si>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</si>
  <si>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</si>
  <si>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</si>
  <si>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</si>
  <si>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</si>
  <si>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</si>
  <si>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</si>
  <si>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</si>
  <si>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</si>
  <si>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</si>
  <si>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</si>
  <si>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</si>
  <si>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</si>
  <si>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</si>
  <si>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</si>
  <si>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</si>
  <si>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</si>
  <si>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</si>
  <si>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</si>
  <si>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</si>
  <si>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</si>
  <si>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</si>
  <si>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</si>
  <si>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</si>
  <si>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</si>
  <si>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</si>
  <si>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</si>
  <si>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</si>
  <si>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</si>
  <si>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</si>
  <si>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</si>
  <si>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</si>
  <si>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</si>
  <si>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</si>
  <si>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</si>
  <si>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</si>
  <si>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</si>
  <si>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</si>
  <si>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</si>
  <si>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</si>
  <si>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</si>
  <si>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</si>
  <si>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</si>
  <si>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</si>
  <si>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</si>
  <si>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</si>
  <si>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</si>
  <si>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</si>
  <si>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</si>
  <si>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</si>
  <si>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</si>
  <si>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</si>
  <si>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</si>
  <si>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</si>
  <si>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</si>
  <si>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</si>
  <si>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</si>
  <si>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</si>
  <si>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</si>
  <si>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</si>
  <si>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</si>
  <si>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</si>
  <si>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</si>
  <si>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</si>
  <si>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</si>
  <si>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</si>
  <si>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</si>
  <si>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</si>
  <si>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</si>
  <si>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</si>
  <si>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</si>
  <si>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</si>
  <si>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</si>
  <si>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</si>
  <si>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</si>
  <si>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</si>
  <si>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</si>
  <si>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</si>
  <si>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</si>
  <si>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</si>
  <si>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</si>
  <si>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</si>
  <si>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</si>
  <si>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</si>
  <si>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</si>
  <si>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</si>
  <si>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</si>
  <si>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</si>
  <si>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</si>
  <si>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</si>
  <si>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</si>
  <si>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</si>
  <si>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</si>
  <si>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</si>
  <si>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</si>
  <si>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</si>
  <si>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</si>
  <si>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</si>
  <si>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</si>
  <si>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</si>
  <si>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</si>
  <si>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</si>
  <si>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</si>
  <si>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</si>
  <si>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</si>
  <si>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</si>
  <si>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</si>
  <si>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</si>
  <si>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</si>
  <si>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</si>
  <si>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</si>
  <si>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</si>
  <si>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</si>
  <si>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</si>
  <si>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</si>
  <si>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</si>
  <si>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</si>
  <si>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</si>
  <si>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</si>
  <si>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</si>
  <si>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</si>
  <si>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</si>
  <si>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</si>
  <si>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</si>
  <si>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</si>
  <si>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</si>
  <si>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</si>
  <si>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</si>
  <si>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</si>
  <si>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</si>
  <si>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</si>
  <si>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</si>
  <si>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</si>
  <si>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</si>
  <si>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</si>
  <si>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</si>
  <si>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</si>
  <si>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</si>
  <si>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</si>
  <si>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</si>
  <si>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</si>
  <si>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</si>
  <si>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</si>
  <si>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</si>
  <si>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</si>
  <si>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</si>
  <si>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</si>
  <si>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</si>
  <si>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</si>
  <si>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</si>
  <si>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</si>
  <si>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</si>
  <si>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</si>
  <si>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</si>
  <si>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</si>
  <si>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</si>
  <si>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</si>
  <si>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</si>
  <si>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</si>
  <si>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</si>
  <si>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</si>
  <si>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</si>
  <si>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</si>
  <si>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</si>
  <si>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</si>
  <si>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</si>
  <si>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</si>
  <si>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</si>
  <si>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</si>
  <si>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</si>
  <si>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</si>
  <si>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</si>
  <si>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</si>
  <si>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</si>
  <si>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</si>
  <si>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</si>
  <si>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</si>
  <si>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</si>
  <si>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</si>
  <si>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</si>
  <si>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</si>
  <si>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</si>
  <si>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</si>
  <si>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</si>
  <si>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</si>
  <si>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</si>
  <si>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</si>
  <si>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</si>
  <si>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</si>
  <si>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</si>
  <si>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</si>
  <si>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</si>
  <si>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</si>
  <si>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</si>
  <si>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</si>
  <si>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</si>
  <si>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</si>
  <si>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</si>
  <si>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</si>
  <si>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</si>
  <si>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</si>
  <si>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</si>
  <si>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</si>
  <si>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</si>
  <si>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</si>
  <si>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</si>
  <si>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</si>
  <si>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</si>
  <si>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</si>
  <si>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</si>
  <si>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</si>
  <si>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</si>
  <si>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</si>
  <si>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</si>
  <si>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</si>
  <si>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</si>
  <si>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</si>
  <si>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</si>
  <si>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</si>
  <si>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</si>
  <si>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</si>
  <si>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</si>
  <si>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</si>
  <si>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</si>
  <si>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</si>
  <si>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</si>
  <si>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</si>
  <si>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</si>
  <si>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</si>
  <si>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</si>
  <si>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</si>
  <si>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</si>
  <si>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</si>
  <si>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</si>
  <si>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</si>
  <si>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</si>
  <si>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</si>
  <si>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</si>
  <si>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</si>
  <si>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</si>
  <si>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</si>
  <si>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</si>
  <si>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</si>
  <si>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</si>
  <si>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</si>
  <si>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</si>
  <si>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</si>
  <si>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</si>
  <si>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</si>
  <si>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</si>
  <si>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</si>
  <si>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</si>
  <si>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</si>
  <si>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</si>
  <si>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</si>
  <si>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</si>
  <si>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</si>
  <si>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</si>
  <si>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</si>
  <si>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</si>
  <si>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</si>
  <si>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</si>
  <si>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</si>
  <si>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</si>
  <si>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</si>
  <si>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</si>
  <si>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</si>
  <si>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</si>
  <si>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</si>
  <si>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</si>
  <si>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</si>
  <si>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</si>
  <si>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</si>
  <si>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</si>
  <si>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</si>
  <si>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</si>
  <si>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</si>
  <si>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</si>
  <si>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</si>
  <si>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</si>
  <si>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</si>
  <si>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</si>
  <si>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</si>
  <si>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</si>
  <si>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</si>
  <si>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</si>
  <si>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</si>
  <si>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</si>
  <si>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</si>
  <si>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</si>
  <si>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</si>
  <si>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</si>
  <si>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</si>
  <si>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</si>
  <si>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</si>
  <si>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</si>
  <si>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</si>
  <si>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</si>
  <si>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</si>
  <si>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</si>
  <si>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</si>
  <si>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</si>
  <si>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</si>
  <si>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</si>
  <si>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</si>
  <si>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</si>
  <si>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</si>
  <si>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</si>
  <si>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</si>
  <si>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</si>
  <si>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</si>
  <si>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</si>
  <si>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</si>
  <si>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</si>
  <si>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</si>
  <si>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</si>
  <si>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</si>
  <si>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</si>
  <si>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</si>
  <si>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</si>
  <si>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</si>
  <si>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</si>
  <si>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</si>
  <si>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</si>
  <si>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</si>
  <si>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</si>
  <si>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</si>
  <si>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</si>
  <si>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</si>
  <si>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</si>
  <si>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</si>
  <si>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</si>
  <si>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</si>
  <si>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</si>
  <si>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</si>
  <si>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</si>
  <si>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</si>
  <si>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</si>
  <si>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</si>
  <si>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</si>
  <si>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</si>
  <si>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</si>
  <si>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</si>
  <si>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</si>
  <si>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</si>
  <si>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</si>
  <si>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</si>
  <si>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</si>
  <si>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</si>
  <si>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</si>
  <si>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</si>
  <si>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</si>
  <si>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</si>
  <si>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</si>
  <si>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</si>
  <si>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</si>
  <si>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</si>
  <si>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</si>
  <si>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</si>
  <si>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</si>
  <si>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</si>
  <si>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</si>
  <si>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</si>
  <si>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</si>
  <si>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</si>
  <si>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</si>
  <si>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</si>
  <si>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</si>
  <si>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</si>
  <si>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</si>
  <si>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</si>
  <si>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</si>
  <si>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</si>
  <si>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</si>
  <si>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</si>
  <si>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</si>
  <si>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</si>
  <si>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</si>
  <si>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</si>
  <si>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</si>
  <si>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</si>
  <si>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</si>
  <si>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</si>
  <si>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</si>
  <si>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</si>
  <si>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</si>
  <si>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</si>
  <si>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</si>
  <si>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</si>
  <si>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</si>
  <si>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</si>
  <si>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</si>
  <si>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</si>
  <si>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</si>
  <si>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</si>
  <si>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</si>
  <si>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</si>
  <si>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</si>
  <si>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</si>
  <si>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</si>
  <si>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</si>
  <si>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</si>
  <si>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</si>
  <si>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</si>
  <si>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</si>
  <si>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</si>
  <si>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</si>
  <si>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</si>
  <si>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</si>
  <si>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</si>
  <si>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</si>
  <si>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</si>
  <si>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</si>
  <si>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</si>
  <si>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</si>
  <si>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</si>
  <si>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</si>
  <si>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</si>
  <si>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</si>
  <si>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</si>
  <si>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</si>
  <si>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</si>
  <si>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</si>
  <si>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</si>
  <si>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</si>
  <si>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</si>
  <si>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</si>
  <si>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</si>
  <si>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</si>
  <si>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</si>
  <si>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</si>
  <si>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</si>
  <si>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</si>
  <si>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</si>
  <si>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</si>
  <si>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</si>
  <si>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</si>
  <si>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</si>
  <si>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</si>
  <si>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</si>
  <si>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</si>
  <si>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</si>
  <si>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</si>
  <si>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</si>
  <si>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</si>
  <si>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</si>
  <si>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</si>
  <si>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</si>
  <si>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</si>
  <si>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</si>
  <si>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</si>
  <si>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</si>
  <si>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</si>
  <si>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</si>
  <si>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</si>
  <si>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</si>
  <si>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</si>
  <si>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</si>
  <si>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</si>
  <si>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</si>
  <si>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</si>
  <si>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</si>
  <si>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</si>
  <si>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</si>
  <si>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</si>
  <si>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</si>
  <si>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</si>
  <si>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</si>
  <si>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</si>
  <si>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</si>
  <si>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</si>
  <si>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</si>
  <si>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</si>
  <si>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</si>
  <si>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</si>
  <si>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</si>
  <si>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</si>
  <si>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</si>
  <si>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</si>
  <si>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</si>
  <si>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</si>
  <si>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</si>
  <si>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</si>
  <si>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</si>
  <si>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</si>
  <si>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</si>
  <si>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</si>
  <si>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</si>
  <si>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</si>
  <si>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</si>
  <si>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</si>
  <si>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</si>
  <si>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</si>
  <si>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</si>
  <si>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</si>
  <si>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</si>
  <si>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</si>
  <si>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</si>
  <si>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</si>
  <si>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</si>
  <si>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</si>
  <si>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</si>
  <si>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</si>
  <si>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</si>
  <si>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</si>
  <si>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</si>
  <si>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</si>
  <si>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</si>
  <si>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</si>
  <si>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</si>
  <si>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</si>
  <si>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</si>
  <si>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</si>
  <si>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</si>
  <si>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</si>
  <si>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</si>
  <si>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</si>
  <si>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</si>
  <si>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</si>
  <si>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</si>
  <si>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</si>
  <si>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</si>
  <si>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</si>
  <si>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</si>
  <si>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</si>
  <si>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</si>
  <si>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</si>
  <si>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</si>
  <si>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</si>
  <si>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</si>
  <si>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</si>
  <si>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</si>
  <si>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</si>
  <si>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</si>
  <si>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</si>
  <si>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</si>
  <si>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</si>
  <si>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</si>
  <si>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</si>
  <si>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</si>
  <si>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</si>
  <si>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</si>
  <si>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</si>
  <si>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</si>
  <si>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</si>
  <si>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</si>
  <si>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</si>
  <si>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</si>
  <si>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</si>
  <si>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</si>
  <si>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</si>
  <si>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</si>
  <si>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</si>
  <si>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</si>
  <si>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</si>
  <si>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</si>
  <si>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</si>
  <si>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</si>
  <si>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</si>
  <si>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</si>
  <si>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</si>
  <si>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</si>
  <si>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</si>
  <si>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</si>
  <si>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</si>
  <si>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</si>
  <si>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</si>
  <si>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</si>
  <si>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</si>
  <si>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</si>
  <si>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</si>
  <si>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</si>
  <si>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</si>
  <si>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</si>
  <si>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</si>
  <si>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</si>
  <si>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</si>
  <si>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</si>
  <si>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</si>
  <si>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</si>
  <si>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</si>
  <si>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</si>
  <si>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</si>
  <si>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</si>
  <si>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</si>
  <si>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</si>
  <si>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</si>
  <si>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</si>
  <si>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</si>
  <si>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</si>
  <si>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</si>
  <si>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</si>
  <si>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</si>
  <si>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</si>
  <si>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</si>
  <si>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</si>
  <si>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</si>
  <si>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</si>
  <si>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</si>
  <si>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</si>
  <si>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</si>
  <si>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</si>
  <si>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</si>
  <si>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</si>
  <si>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</si>
  <si>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</si>
  <si>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</si>
  <si>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</si>
  <si>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</si>
  <si>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</si>
  <si>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</si>
  <si>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</si>
  <si>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</si>
  <si>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</si>
  <si>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</si>
  <si>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</si>
  <si>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</si>
  <si>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</si>
  <si>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</si>
  <si>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</si>
  <si>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</si>
  <si>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</si>
  <si>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</si>
  <si>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</si>
  <si>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</si>
  <si>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</si>
  <si>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</si>
  <si>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</si>
  <si>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</si>
  <si>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</si>
  <si>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</si>
  <si>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</si>
  <si>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</si>
  <si>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</si>
  <si>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</si>
  <si>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</si>
  <si>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</si>
  <si>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</si>
  <si>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</si>
  <si>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</si>
  <si>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</si>
  <si>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</si>
  <si>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</si>
  <si>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</si>
  <si>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</si>
  <si>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</si>
  <si>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</si>
  <si>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</si>
  <si>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</si>
  <si>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</si>
  <si>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</si>
  <si>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</si>
  <si>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</si>
  <si>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</si>
  <si>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</si>
  <si>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</si>
  <si>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</si>
  <si>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</si>
  <si>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</si>
  <si>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</si>
  <si>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</si>
  <si>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</si>
  <si>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</si>
  <si>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</si>
  <si>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</si>
  <si>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</si>
  <si>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</si>
  <si>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</si>
  <si>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</si>
  <si>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</si>
  <si>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</si>
  <si>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</si>
  <si>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</si>
  <si>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</si>
  <si>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</si>
  <si>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</si>
  <si>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</si>
  <si>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</si>
  <si>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</si>
  <si>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</si>
  <si>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</si>
  <si>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</si>
  <si>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</si>
  <si>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</si>
  <si>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</si>
  <si>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</si>
  <si>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</si>
  <si>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</si>
  <si>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</si>
  <si>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</si>
  <si>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</si>
  <si>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</si>
  <si>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</si>
  <si>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</si>
  <si>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</si>
  <si>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</si>
  <si>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</si>
  <si>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</si>
  <si>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</si>
  <si>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</si>
  <si>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</si>
  <si>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</si>
  <si>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</si>
  <si>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</si>
  <si>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</si>
  <si>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</si>
  <si>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</si>
  <si>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</si>
  <si>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</si>
  <si>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</si>
  <si>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</si>
  <si>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</si>
  <si>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</si>
  <si>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</si>
  <si>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</si>
  <si>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</si>
  <si>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</si>
  <si>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</si>
  <si>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</si>
  <si>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</si>
  <si>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</si>
  <si>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</si>
  <si>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</si>
  <si>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</si>
  <si>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</si>
  <si>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</si>
  <si>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</si>
  <si>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</si>
  <si>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</si>
  <si>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</si>
  <si>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</si>
  <si>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</si>
  <si>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</si>
  <si>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</si>
  <si>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</si>
  <si>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</si>
  <si>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</si>
  <si>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</si>
  <si>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</si>
  <si>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</si>
  <si>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</si>
  <si>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</si>
  <si>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</si>
  <si>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</si>
  <si>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</si>
  <si>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</si>
  <si>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</si>
  <si>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</si>
  <si>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</si>
  <si>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</si>
  <si>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</si>
  <si>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</si>
  <si>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</si>
  <si>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</si>
  <si>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</si>
  <si>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</si>
  <si>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</si>
  <si>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</si>
  <si>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</si>
  <si>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</si>
  <si>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</si>
  <si>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</si>
  <si>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</si>
  <si>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</si>
  <si>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</si>
  <si>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</si>
  <si>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</si>
  <si>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</si>
  <si>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</si>
  <si>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</si>
  <si>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</si>
  <si>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</si>
  <si>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</si>
  <si>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</si>
  <si>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</si>
  <si>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</si>
  <si>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</si>
  <si>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</si>
  <si>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</si>
  <si>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</si>
  <si>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</si>
  <si>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</si>
  <si>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</si>
  <si>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</si>
  <si>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</si>
  <si>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</si>
  <si>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</si>
  <si>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</si>
  <si>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</si>
  <si>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</si>
  <si>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</si>
  <si>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</si>
  <si>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</si>
  <si>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</si>
  <si>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</si>
  <si>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</si>
  <si>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</si>
  <si>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</si>
  <si>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</si>
  <si>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</si>
  <si>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</si>
  <si>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</si>
  <si>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</si>
  <si>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</si>
  <si>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</si>
  <si>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</si>
  <si>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</si>
  <si>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</si>
  <si>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</si>
  <si>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</si>
  <si>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</si>
  <si>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</si>
  <si>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</si>
  <si>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</si>
  <si>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</si>
  <si>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</si>
  <si>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</si>
  <si>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</si>
  <si>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</si>
  <si>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</si>
  <si>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</si>
  <si>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</si>
  <si>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</si>
  <si>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</si>
  <si>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</si>
  <si>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</si>
  <si>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</si>
  <si>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</si>
  <si>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</si>
  <si>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</si>
  <si>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</si>
  <si>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</si>
  <si>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</si>
  <si>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</si>
  <si>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</si>
  <si>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</si>
  <si>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</si>
  <si>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</si>
  <si>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</si>
  <si>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</si>
  <si>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</si>
  <si>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</si>
  <si>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</si>
  <si>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</si>
  <si>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</si>
  <si>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</si>
  <si>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</si>
  <si>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</si>
  <si>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</si>
  <si>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</si>
  <si>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</si>
  <si>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</si>
  <si>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</si>
  <si>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</si>
  <si>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</si>
  <si>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</si>
  <si>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</si>
  <si>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</si>
  <si>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</si>
  <si>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</si>
  <si>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</si>
  <si>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</si>
  <si>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</si>
  <si>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</si>
  <si>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</si>
  <si>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</si>
  <si>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</si>
  <si>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</si>
  <si>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</si>
  <si>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</si>
  <si>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</si>
  <si>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</si>
  <si>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</si>
  <si>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</si>
  <si>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</si>
  <si>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</si>
  <si>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</si>
  <si>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</si>
  <si>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</si>
  <si>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</si>
  <si>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</si>
  <si>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</si>
  <si>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</si>
  <si>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</si>
  <si>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</si>
  <si>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</si>
  <si>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</si>
  <si>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</si>
  <si>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</si>
  <si>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</si>
  <si>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</si>
  <si>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</si>
  <si>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</si>
  <si>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</si>
  <si>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</si>
  <si>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</si>
  <si>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</si>
  <si>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</si>
  <si>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</si>
  <si>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</si>
  <si>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</si>
  <si>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</si>
  <si>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</si>
  <si>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</si>
  <si>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</si>
  <si>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</si>
  <si>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</si>
  <si>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</si>
  <si>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</si>
  <si>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</si>
  <si>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</si>
  <si>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</si>
  <si>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</si>
  <si>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</si>
  <si>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</si>
  <si>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</si>
  <si>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</si>
  <si>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</si>
  <si>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</si>
  <si>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</si>
  <si>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</si>
  <si>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</si>
  <si>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</si>
  <si>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</si>
  <si>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</si>
  <si>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</si>
  <si>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</si>
  <si>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</si>
  <si>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</si>
  <si>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</si>
  <si>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</si>
  <si>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</si>
  <si>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</si>
  <si>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</si>
  <si>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</si>
  <si>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</si>
  <si>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</si>
  <si>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</si>
  <si>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</si>
  <si>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</si>
  <si>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</si>
  <si>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</si>
  <si>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</si>
  <si>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</si>
  <si>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</si>
  <si>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</si>
  <si>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</si>
  <si>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</si>
  <si>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</si>
  <si>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</si>
  <si>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</si>
  <si>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</si>
  <si>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</si>
  <si>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</si>
  <si>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</si>
  <si>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</si>
  <si>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</si>
  <si>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</si>
  <si>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</si>
  <si>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</si>
  <si>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</si>
  <si>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</si>
  <si>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</si>
  <si>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</si>
  <si>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</si>
  <si>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</si>
  <si>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</si>
  <si>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</si>
  <si>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</si>
  <si>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</si>
  <si>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</si>
  <si>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</si>
  <si>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</si>
  <si>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</si>
  <si>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</si>
  <si>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</si>
  <si>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</si>
  <si>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</si>
  <si>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</si>
  <si>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</si>
  <si>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</si>
  <si>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</si>
  <si>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</si>
  <si>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</si>
  <si>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</si>
  <si>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</si>
  <si>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</si>
  <si>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</si>
  <si>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</si>
  <si>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</si>
  <si>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</si>
  <si>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</si>
  <si>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</si>
  <si>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</si>
  <si>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</si>
  <si>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</si>
  <si>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</si>
  <si>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</si>
  <si>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</si>
  <si>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</si>
  <si>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</si>
  <si>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</si>
  <si>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</si>
  <si>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</si>
  <si>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</si>
  <si>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</si>
  <si>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</si>
  <si>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</si>
  <si>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</si>
  <si>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</si>
  <si>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</si>
  <si>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</si>
  <si>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</si>
  <si>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</si>
  <si>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</si>
  <si>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</si>
  <si>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</si>
  <si>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</si>
  <si>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</si>
  <si>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</si>
  <si>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</si>
  <si>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</si>
  <si>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</si>
  <si>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</si>
  <si>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</si>
  <si>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</si>
  <si>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</si>
  <si>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</si>
  <si>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</si>
  <si>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</si>
  <si>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</si>
  <si>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</si>
  <si>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</si>
  <si>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</si>
  <si>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</si>
  <si>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</si>
  <si>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</si>
  <si>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</si>
  <si>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</si>
  <si>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</si>
  <si>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</si>
  <si>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</si>
  <si>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</si>
  <si>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</si>
  <si>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</si>
  <si>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</si>
  <si>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</si>
  <si>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</si>
  <si>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</si>
  <si>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</si>
  <si>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</si>
  <si>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</si>
  <si>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</si>
  <si>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</si>
  <si>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</si>
  <si>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</si>
  <si>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</si>
  <si>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</si>
  <si>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</si>
  <si>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</si>
  <si>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</si>
  <si>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</si>
  <si>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</si>
  <si>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</si>
  <si>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</si>
  <si>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</si>
  <si>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</si>
  <si>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</si>
  <si>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</si>
  <si>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</si>
  <si>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</si>
  <si>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</si>
  <si>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</si>
  <si>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</si>
  <si>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</si>
  <si>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</si>
  <si>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</si>
  <si>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</si>
  <si>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</si>
  <si>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</si>
  <si>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</si>
  <si>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</si>
  <si>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</si>
  <si>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</si>
  <si>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</si>
  <si>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</si>
  <si>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</si>
  <si>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</si>
  <si>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</si>
  <si>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</si>
  <si>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</si>
  <si>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</si>
  <si>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</si>
  <si>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</si>
  <si>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</si>
  <si>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</si>
  <si>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</si>
  <si>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</si>
  <si>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</si>
  <si>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</si>
  <si>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</si>
  <si>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</si>
  <si>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</si>
  <si>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</si>
  <si>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</si>
  <si>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</si>
  <si>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</si>
  <si>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</si>
  <si>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</si>
  <si>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</si>
  <si>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</si>
  <si>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</si>
  <si>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</si>
  <si>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</si>
  <si>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</si>
  <si>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</si>
  <si>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</si>
  <si>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</si>
  <si>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</si>
  <si>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</si>
  <si>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</si>
  <si>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</si>
  <si>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</si>
  <si>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</si>
  <si>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</si>
  <si>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</si>
  <si>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</si>
  <si>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</si>
  <si>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</si>
  <si>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</si>
  <si>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</si>
  <si>
    <t>FÁZIS_1V3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</si>
</sst>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0" fillId="0" borderId="0" xfId="0" applyNumberFormat="1"/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89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A1:AC12" totalsRowShown="0" headerRowDxfId="88">
  <autoFilter ref="A1:AC12" xr:uid="{00000000-0009-0000-0100-000001000000}"/>
  <tableColumns count="29">
    <tableColumn id="1" xr3:uid="{00000000-0010-0000-0000-000001000000}" name="Irányítószám" dataDxfId="87"/>
    <tableColumn id="2" xr3:uid="{00000000-0010-0000-0000-000002000000}" name="Település" dataDxfId="86"/>
    <tableColumn id="3" xr3:uid="{00000000-0010-0000-0000-000003000000}" name="Utca, házszám" dataDxfId="85"/>
    <tableColumn id="4" xr3:uid="{00000000-0010-0000-0000-000004000000}" name="Magán/jogi személy" dataDxfId="84"/>
    <tableColumn id="5" xr3:uid="{00000000-0010-0000-0000-000005000000}" name="Rendszerhasználó neve" dataDxfId="83"/>
    <tableColumn id="6" xr3:uid="{00000000-0010-0000-0000-000006000000}" name="Partnerszám" dataDxfId="82"/>
    <tableColumn id="7" xr3:uid="{00000000-0010-0000-0000-000007000000}" name="Felhasználási hely azonsító" dataDxfId="81"/>
    <tableColumn id="8" xr3:uid="{00000000-0010-0000-0000-000008000000}" name="Érintett elszámolási mérő gyári száma" dataDxfId="80"/>
    <tableColumn id="9" xr3:uid="{00000000-0010-0000-0000-000009000000}" name="Születési név" dataDxfId="79"/>
    <tableColumn id="10" xr3:uid="{00000000-0010-0000-0000-00000A000000}" name="Anyja neve:" dataDxfId="78"/>
    <tableColumn id="11" xr3:uid="{00000000-0010-0000-0000-00000B000000}" name="Születési hely, dátum" dataDxfId="77"/>
    <tableColumn id="13" xr3:uid="{00000000-0010-0000-0000-00000D000000}" name="Felhasználó elérhetősége telefon" dataDxfId="76"/>
    <tableColumn id="27" xr3:uid="{00000000-0010-0000-0000-00001B000000}" name="Felhasználó elérhetősége e-mail"/>
    <tableColumn id="14" xr3:uid="{00000000-0010-0000-0000-00000E000000}" name="Felhasználási helyen rendelkezésre álló teljesítmény: (pl. 3x32A, vagy 1x32 A)" dataDxfId="75"/>
    <tableColumn id="15" xr3:uid="{00000000-0010-0000-0000-00000F000000}" name="Beépített termelői kapacitás kW-ban" dataDxfId="74"/>
    <tableColumn id="16" xr3:uid="{00000000-0010-0000-0000-000010000000}" name="Termelői kapacitás csatlakoztatása" dataDxfId="73"/>
    <tableColumn id="17" xr3:uid="{00000000-0010-0000-0000-000011000000}" name="Felhasználási helyen alkalmazott érintésvédelmi mód" dataDxfId="72"/>
    <tableColumn id="18" xr3:uid="{00000000-0010-0000-0000-000012000000}" name="DC oldali villamos teljesítménye" dataDxfId="71"/>
    <tableColumn id="19" xr3:uid="{00000000-0010-0000-0000-000013000000}" name="Inverter" dataDxfId="70"/>
    <tableColumn id="20" xr3:uid="{00000000-0010-0000-0000-000014000000}" name="Levelezési cím" dataDxfId="69"/>
    <tableColumn id="21" xr3:uid="{00000000-0010-0000-0000-000015000000}" name="IKTATÓ" dataDxfId="68"/>
    <tableColumn id="22" xr3:uid="{00000000-0010-0000-0000-000016000000}" name="Napelem panel" dataDxfId="67"/>
    <tableColumn id="23" xr3:uid="{00000000-0010-0000-0000-000017000000}" name="AC hossz" dataDxfId="66"/>
    <tableColumn id="24" xr3:uid="{00000000-0010-0000-0000-000018000000}" name="DC hossz" dataDxfId="65"/>
    <tableColumn id="25" xr3:uid="{00000000-0010-0000-0000-000019000000}" name="TRANSZFORMÁTOR" dataDxfId="64"/>
    <tableColumn id="28" xr3:uid="{00000000-0010-0000-0000-00001C000000}" name="Keresztmetszet AC" dataDxfId="63"/>
    <tableColumn id="26" xr3:uid="{00000000-0010-0000-0000-00001A000000}" name="Keresztmetszet DC" dataDxfId="62"/>
    <tableColumn id="12" xr3:uid="{00000000-0010-0000-0000-00000C000000}" name="Kismegszakító" dataDxfId="61"/>
    <tableColumn id="29" xr3:uid="{00000000-0010-0000-0000-00001D000000}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A1:AD21" totalsRowShown="0" headerRowDxfId="59" dataDxfId="57" headerRowBorderDxfId="58" tableBorderDxfId="56">
  <autoFilter ref="A1:AD21" xr:uid="{00000000-0009-0000-0100-000002000000}"/>
  <tableColumns count="30">
    <tableColumn id="1" xr3:uid="{00000000-0010-0000-0100-000001000000}" name="Irányítószám" dataDxfId="55"/>
    <tableColumn id="2" xr3:uid="{00000000-0010-0000-0100-000002000000}" name="Település" dataDxfId="54"/>
    <tableColumn id="3" xr3:uid="{00000000-0010-0000-0100-000003000000}" name="Utca, házszám" dataDxfId="53"/>
    <tableColumn id="4" xr3:uid="{00000000-0010-0000-0100-000004000000}" name="Magán/jogi személy" dataDxfId="52"/>
    <tableColumn id="5" xr3:uid="{00000000-0010-0000-0100-000005000000}" name="Rendszerhasználó neve" dataDxfId="51"/>
    <tableColumn id="6" xr3:uid="{00000000-0010-0000-0100-000006000000}" name="Partnerszám" dataDxfId="50"/>
    <tableColumn id="7" xr3:uid="{00000000-0010-0000-0100-000007000000}" name="Felhasználási hely azonsító" dataDxfId="49"/>
    <tableColumn id="8" xr3:uid="{00000000-0010-0000-0100-000008000000}" name="Érintett elszámolási mérő gyári száma" dataDxfId="48"/>
    <tableColumn id="9" xr3:uid="{00000000-0010-0000-0100-000009000000}" name="Jogi személy elnevezése" dataDxfId="47"/>
    <tableColumn id="10" xr3:uid="{00000000-0010-0000-0100-00000A000000}" name="Cégjegyzékszám/statisztikai számjel" dataDxfId="46"/>
    <tableColumn id="11" xr3:uid="{00000000-0010-0000-0100-00000B000000}" name="Adószám" dataDxfId="45"/>
    <tableColumn id="12" xr3:uid="{00000000-0010-0000-0100-00000C000000}" name="Székhely" dataDxfId="44"/>
    <tableColumn id="13" xr3:uid="{00000000-0010-0000-0100-00000D000000}" name="Felhasználó elérhetősége telefon" dataDxfId="43"/>
    <tableColumn id="23" xr3:uid="{00000000-0010-0000-0100-000017000000}" name="Felhasználó elérhetősége e-mail" dataDxfId="42"/>
    <tableColumn id="14" xr3:uid="{00000000-0010-0000-0100-00000E000000}" name="Felhasználási helyen rendelkezésre álló teljesítmény: (pl. 3x32A, vagy 1x32 A)" dataDxfId="41"/>
    <tableColumn id="15" xr3:uid="{00000000-0010-0000-0100-00000F000000}" name="Beépített termelői kapacitás kW-ban" dataDxfId="40"/>
    <tableColumn id="16" xr3:uid="{00000000-0010-0000-0100-000010000000}" name="Termelői kapacitás csatlakoztatása" dataDxfId="39"/>
    <tableColumn id="17" xr3:uid="{00000000-0010-0000-0100-000011000000}" name="Felhasználási helyen alkalmazott érintésvédelmi mód" dataDxfId="38"/>
    <tableColumn id="18" xr3:uid="{00000000-0010-0000-0100-000012000000}" name="DC oldali villamos teljesítménye" dataDxfId="37"/>
    <tableColumn id="19" xr3:uid="{00000000-0010-0000-0100-000013000000}" name="Inverter" dataDxfId="36"/>
    <tableColumn id="20" xr3:uid="{00000000-0010-0000-0100-000014000000}" name="Levelezési cím" dataDxfId="35"/>
    <tableColumn id="21" xr3:uid="{00000000-0010-0000-0100-000015000000}" name="IKTATÓ" dataDxfId="34"/>
    <tableColumn id="22" xr3:uid="{00000000-0010-0000-0100-000016000000}" name="Napelem panel" dataDxfId="33"/>
    <tableColumn id="24" xr3:uid="{00000000-0010-0000-0100-000018000000}" name="AC hossz" dataDxfId="32"/>
    <tableColumn id="25" xr3:uid="{00000000-0010-0000-0100-000019000000}" name="DC hossz" dataDxfId="31"/>
    <tableColumn id="26" xr3:uid="{00000000-0010-0000-0100-00001A000000}" name="TRANSZFORMÁTOR" dataDxfId="30"/>
    <tableColumn id="27" xr3:uid="{00000000-0010-0000-0100-00001B000000}" name="Keresztmetszet AC" dataDxfId="29"/>
    <tableColumn id="28" xr3:uid="{00000000-0010-0000-0100-00001C000000}" name="Keresztmetszet DC" dataDxfId="28"/>
    <tableColumn id="29" xr3:uid="{00000000-0010-0000-0100-00001D000000}" name="Kismegszakító" dataDxfId="27"/>
    <tableColumn id="30" xr3:uid="{00000000-0010-0000-0100-00001E000000}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áblázat4" displayName="Táblázat4" ref="A1:AH27" totalsRowShown="0" headerRowDxfId="25">
  <autoFilter ref="A1:AH27" xr:uid="{00000000-0009-0000-0100-000004000000}"/>
  <tableColumns count="34">
    <tableColumn id="1" xr3:uid="{00000000-0010-0000-0200-000001000000}" name="Irányítószám"/>
    <tableColumn id="2" xr3:uid="{00000000-0010-0000-0200-000002000000}" name="Település"/>
    <tableColumn id="3" xr3:uid="{00000000-0010-0000-0200-000003000000}" name="Utca, házszám">
      <calculatedColumnFormula>IFERROR(INDEX(Táblázat1[[#This Row],[Utca, házszám]],MATCH(Táblázat4[[#This Row],[IKTATÓ]],Táblázat1[[#This Row],[IKTATÓ]],0)),INDEX(Táblázat2[[#This Row],[Utca, házszám]],MATCH(Táblázat4[[#This Row],[IKTATÓ]],Táblázat2[[#This Row],[IKTATÓ]],0)))</calculatedColumnFormula>
    </tableColumn>
    <tableColumn id="4" xr3:uid="{00000000-0010-0000-0200-000004000000}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xr3:uid="{00000000-0010-0000-0200-000005000000}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xr3:uid="{00000000-0010-0000-0200-000006000000}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xr3:uid="{00000000-0010-0000-0200-000007000000}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xr3:uid="{00000000-0010-0000-0200-000008000000}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xr3:uid="{00000000-0010-0000-0200-000009000000}" name="Születési név" dataDxfId="21">
      <calculatedColumnFormula>IFERROR(INDEX(Magánszemély!I:I,MATCH(Táblázat4[[#This Row],[IKTATÓ]],Magánszemély!U:U,0)),"")</calculatedColumnFormula>
    </tableColumn>
    <tableColumn id="10" xr3:uid="{00000000-0010-0000-0200-00000A000000}" name="Anyja neve:" dataDxfId="20">
      <calculatedColumnFormula>IFERROR(INDEX(Magánszemély!J:J,MATCH(Táblázat4[[#This Row],[IKTATÓ]],Magánszemély!U:U,0)),"")</calculatedColumnFormula>
    </tableColumn>
    <tableColumn id="11" xr3:uid="{00000000-0010-0000-0200-00000B000000}" name="Születési hely, dátum" dataDxfId="19">
      <calculatedColumnFormula>IFERROR(INDEX(Magánszemély!K:K,MATCH(Táblázat4[[#This Row],[IKTATÓ]],Magánszemély!U:U,0)),"")</calculatedColumnFormula>
    </tableColumn>
    <tableColumn id="12" xr3:uid="{00000000-0010-0000-0200-00000C000000}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xr3:uid="{00000000-0010-0000-0200-00000D000000}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xr3:uid="{00000000-0010-0000-0200-00000E000000}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xr3:uid="{00000000-0010-0000-0200-00000F000000}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xr3:uid="{00000000-0010-0000-0200-000010000000}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xr3:uid="{00000000-0010-0000-0200-000011000000}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xr3:uid="{00000000-0010-0000-0200-000012000000}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xr3:uid="{00000000-0010-0000-0200-000013000000}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xr3:uid="{00000000-0010-0000-0200-000014000000}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xr3:uid="{00000000-0010-0000-0200-000015000000}" name="IKTATÓ" dataDxfId="17"/>
    <tableColumn id="22" xr3:uid="{00000000-0010-0000-0200-000016000000}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xr3:uid="{00000000-0010-0000-0200-000017000000}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xr3:uid="{00000000-0010-0000-0200-000018000000}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xr3:uid="{00000000-0010-0000-0200-000020000000}" name="Transzformátor" dataDxfId="14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xr3:uid="{00000000-0010-0000-0200-000019000000}" name="Keresztmetszet AC" dataDxfId="13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xr3:uid="{00000000-0010-0000-0200-00001A000000}" name="Keresztmetszet DC" dataDxfId="12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xr3:uid="{00000000-0010-0000-0200-00001B000000}" name="Kismegszakító" dataDxfId="11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xr3:uid="{00000000-0010-0000-0200-000021000000}" name="MÉRÉSI PONT Azonosító" dataDxfId="10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xr3:uid="{00000000-0010-0000-0200-00001C000000}" name="Jogi személy elnevezése"/>
    <tableColumn id="29" xr3:uid="{00000000-0010-0000-0200-00001D000000}" name="Cégjegyzékszám/statisztikai számjel">
      <calculatedColumnFormula>IFERROR(INDEX('Jogi személy'!J:J,MATCH(Táblázat4[[#This Row],[IKTATÓ]],'Jogi személy'!V:V,0)),"")</calculatedColumnFormula>
    </tableColumn>
    <tableColumn id="30" xr3:uid="{00000000-0010-0000-0200-00001E000000}" name="Adószám">
      <calculatedColumnFormula>IFERROR(INDEX('Jogi személy'!K:K,MATCH(Táblázat4[[#This Row],[IKTATÓ]],'Jogi személy'!V:V,0)),"")</calculatedColumnFormula>
    </tableColumn>
    <tableColumn id="31" xr3:uid="{00000000-0010-0000-0200-00001F000000}" name="Székhely">
      <calculatedColumnFormula>IFERROR(INDEX('Jogi személy'!L:L,MATCH(Táblázat4[[#This Row],[IKTATÓ]],'Jogi személy'!V:V,0)),"")</calculatedColumnFormula>
    </tableColumn>
    <tableColumn id="34" xr3:uid="{00000000-0010-0000-0200-000022000000}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áblázat14" displayName="Táblázat14" ref="A1:H1197" totalsRowShown="0" headerRowDxfId="9" dataDxfId="8">
  <autoFilter ref="A1:H1197" xr:uid="{00000000-0009-0000-0100-000003000000}"/>
  <tableColumns count="8">
    <tableColumn id="1" xr3:uid="{00000000-0010-0000-0300-000001000000}" name="Gyártó" dataDxfId="7"/>
    <tableColumn id="2" xr3:uid="{00000000-0010-0000-0300-000002000000}" name="Típus" dataDxfId="6"/>
    <tableColumn id="8" xr3:uid="{00000000-0010-0000-0300-000008000000}" name="Összesítőbe" dataDxfId="5">
      <calculatedColumnFormula>CONCATENATE(A:A," ",B:B)</calculatedColumnFormula>
    </tableColumn>
    <tableColumn id="3" xr3:uid="{00000000-0010-0000-0300-000003000000}" name="Névleges teljesítmény W" dataDxfId="4"/>
    <tableColumn id="4" xr3:uid="{00000000-0010-0000-0300-000004000000}" name="Fázisszám" dataDxfId="3"/>
    <tableColumn id="5" xr3:uid="{00000000-0010-0000-0300-000005000000}" name="Névleges fázisáram" dataDxfId="2"/>
    <tableColumn id="6" xr3:uid="{00000000-0010-0000-0300-000006000000}" name="Kismegszakító" dataDxfId="1"/>
    <tableColumn id="7" xr3:uid="{00000000-0010-0000-0300-000007000000}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workbookViewId="0">
      <selection activeCell="A22" sqref="A22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45048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2</v>
      </c>
    </row>
    <row r="6" spans="1:2" x14ac:dyDescent="0.25">
      <c r="A6" t="s">
        <v>21</v>
      </c>
      <c r="B6" s="43" t="s">
        <v>1267</v>
      </c>
    </row>
    <row r="7" spans="1:2" x14ac:dyDescent="0.25">
      <c r="A7" t="s">
        <v>1218</v>
      </c>
      <c r="B7" s="43" t="str">
        <f>INDEX(Összesítő!A:A,MATCH(PANEL!$B$6,Összesítő!U:U,0))</f>
        <v>teszt magán Robinak mutatom</v>
      </c>
    </row>
    <row r="8" spans="1:2" x14ac:dyDescent="0.25">
      <c r="A8" t="s">
        <v>1219</v>
      </c>
      <c r="B8" s="43" t="str">
        <f>INDEX(Összesítő!B:B,MATCH(PANEL!$B$6,Összesítő!U:U,0))</f>
        <v>az</v>
      </c>
    </row>
    <row r="9" spans="1:2" x14ac:dyDescent="0.25">
      <c r="A9" t="s">
        <v>1220</v>
      </c>
      <c r="B9" s="43" t="str">
        <f>INDEX(Összesítő!C:C,MATCH(PANEL!$B$6,Összesítő!U:U,0))</f>
        <v>volt a</v>
      </c>
    </row>
    <row r="10" spans="1:2" x14ac:dyDescent="0.25">
      <c r="A10" t="s">
        <v>1221</v>
      </c>
      <c r="B10" s="43" t="str">
        <f>INDEX(Összesítő!D:D,MATCH(PANEL!$B$6,Összesítő!U:U,0))</f>
        <v>Magánszemély</v>
      </c>
    </row>
    <row r="11" spans="1:2" x14ac:dyDescent="0.25">
      <c r="A11" t="s">
        <v>1222</v>
      </c>
      <c r="B11" s="42" t="str">
        <f>INDEX(Összesítő!E:E,MATCH(PANEL!$B$6,Összesítő!U:U,0))</f>
        <v>baj</v>
      </c>
    </row>
    <row r="12" spans="1:2" x14ac:dyDescent="0.25">
      <c r="A12" t="s">
        <v>1217</v>
      </c>
      <c r="B12" s="42" t="str">
        <f>INDEX(Összesítő!F:F,MATCH(PANEL!$B$6,Összesítő!U:U,0))</f>
        <v>hogy</v>
      </c>
    </row>
    <row r="13" spans="1:2" x14ac:dyDescent="0.25">
      <c r="A13" t="s">
        <v>1223</v>
      </c>
      <c r="B13" s="42" t="str">
        <f>INDEX(Összesítő!G:G,MATCH(PANEL!$B$6,Összesítő!U:U,0))</f>
        <v>nagy M a</v>
      </c>
    </row>
    <row r="14" spans="1:2" x14ac:dyDescent="0.25">
      <c r="A14" t="s">
        <v>1224</v>
      </c>
      <c r="B14" s="42" t="str">
        <f>INDEX(Összesítő!H:H,MATCH(PANEL!$B$6,Összesítő!U:U,0))</f>
        <v>Magánszemély</v>
      </c>
    </row>
    <row r="15" spans="1:2" x14ac:dyDescent="0.25">
      <c r="A15" t="s">
        <v>1225</v>
      </c>
      <c r="B15" s="42" t="str">
        <f>INDEX(Összesítő!I:I,MATCH(PANEL!$B$6,Összesítő!U:U,0))</f>
        <v>mindenhol (D oszlop is, meg a lap neve is)</v>
      </c>
    </row>
    <row r="16" spans="1:2" x14ac:dyDescent="0.25">
      <c r="A16" t="s">
        <v>1226</v>
      </c>
      <c r="B16" s="42" t="str">
        <f>INDEX(Összesítő!J:J,MATCH(PANEL!$B$6,Összesítő!U:U,0))</f>
        <v>kódban</v>
      </c>
    </row>
    <row r="17" spans="1:2" x14ac:dyDescent="0.25">
      <c r="A17" t="s">
        <v>1227</v>
      </c>
      <c r="B17" s="42" t="str">
        <f>INDEX(Összesítő!K:K,MATCH(PANEL!$B$6,Összesítő!U:U,0))</f>
        <v xml:space="preserve">de </v>
      </c>
    </row>
    <row r="18" spans="1:2" x14ac:dyDescent="0.25">
      <c r="A18" t="s">
        <v>1228</v>
      </c>
      <c r="B18" s="42" t="str">
        <f>INDEX(Összesítő!L:L,MATCH(PANEL!$B$6,Összesítő!U:U,0))</f>
        <v xml:space="preserve">ezzel a </v>
      </c>
    </row>
    <row r="19" spans="1:2" x14ac:dyDescent="0.25">
      <c r="A19" t="s">
        <v>1229</v>
      </c>
      <c r="B19" s="42" t="str">
        <f>INDEX(Összesítő!M:M,MATCH(PANEL!$B$6,Összesítő!U:U,0))</f>
        <v>templattel</v>
      </c>
    </row>
    <row r="20" spans="1:2" x14ac:dyDescent="0.25">
      <c r="A20" t="s">
        <v>1230</v>
      </c>
      <c r="B20" s="42" t="str">
        <f>INDEX(Összesítő!N:N,MATCH(PANEL!$B$6,Összesítő!U:U,0))</f>
        <v>jó</v>
      </c>
    </row>
    <row r="21" spans="1:2" x14ac:dyDescent="0.25">
      <c r="A21" t="s">
        <v>1231</v>
      </c>
      <c r="B21" s="42" t="str">
        <f>INDEX(Összesítő!O:O,MATCH(PANEL!$B$6,Összesítő!U:U,0))</f>
        <v>lesz</v>
      </c>
    </row>
    <row r="22" spans="1:2" x14ac:dyDescent="0.25">
      <c r="A22" t="s">
        <v>1269</v>
      </c>
      <c r="B22" s="42" t="str">
        <f>INDEX(Összesítő!P:P,MATCH(PANEL!$B$6,Összesítő!U:U,0))</f>
        <v>teszt</v>
      </c>
    </row>
    <row r="23" spans="1:2" x14ac:dyDescent="0.25">
      <c r="A23" t="s">
        <v>1232</v>
      </c>
      <c r="B23" s="42" t="str">
        <f>INDEX(Összesítő!Q:Q,MATCH(PANEL!$B$6,Összesítő!U:U,0))</f>
        <v>1 fázis</v>
      </c>
    </row>
    <row r="24" spans="1:2" x14ac:dyDescent="0.25">
      <c r="A24" t="s">
        <v>1233</v>
      </c>
      <c r="B24" s="42" t="str">
        <f>INDEX(Összesítő!R:R,MATCH(PANEL!$B$6,Összesítő!U:U,0))</f>
        <v>teszt</v>
      </c>
    </row>
    <row r="25" spans="1:2" x14ac:dyDescent="0.25">
      <c r="A25" t="s">
        <v>1234</v>
      </c>
      <c r="B25" s="42" t="str">
        <f>INDEX(Összesítő!S:S,MATCH(PANEL!$B$6,Összesítő!U:U,0))</f>
        <v>teszt</v>
      </c>
    </row>
    <row r="26" spans="1:2" x14ac:dyDescent="0.25">
      <c r="A26" t="s">
        <v>1235</v>
      </c>
      <c r="B26" s="42" t="str">
        <f>INDEX(Összesítő!T:T,MATCH(PANEL!$B$6,Összesítő!U:U,0))</f>
        <v>teszt</v>
      </c>
    </row>
    <row r="27" spans="1:2" x14ac:dyDescent="0.25">
      <c r="A27" t="s">
        <v>1236</v>
      </c>
      <c r="B27" s="42" t="str">
        <f>INDEX(Összesítő!V:V,MATCH(PANEL!$B$6,Összesítő!U:U,0))</f>
        <v>teszt</v>
      </c>
    </row>
    <row r="28" spans="1:2" x14ac:dyDescent="0.25">
      <c r="A28" t="s">
        <v>1237</v>
      </c>
      <c r="B28" s="42" t="str">
        <f>INDEX(Összesítő!W:W,MATCH(PANEL!$B$6,Összesítő!U:U,0))</f>
        <v>teszt</v>
      </c>
    </row>
    <row r="29" spans="1:2" x14ac:dyDescent="0.25">
      <c r="A29" t="s">
        <v>1238</v>
      </c>
      <c r="B29" s="42" t="str">
        <f>INDEX(Összesítő!X:X,MATCH(PANEL!$B$6,Összesítő!U:U,0))</f>
        <v>teszt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1239</v>
      </c>
      <c r="B31" s="42" t="str">
        <f>INDEX(Összesítő!Z:Z,MATCH(PANEL!$B$6,Összesítő!U:U,0))</f>
        <v>teszt</v>
      </c>
    </row>
    <row r="32" spans="1:2" x14ac:dyDescent="0.25">
      <c r="A32" t="s">
        <v>1240</v>
      </c>
      <c r="B32" s="42" t="str">
        <f>INDEX(Összesítő!AA:AA,MATCH(PANEL!$B$6,Összesítő!U:U,0))</f>
        <v>teszt</v>
      </c>
    </row>
    <row r="33" spans="1:2" x14ac:dyDescent="0.25">
      <c r="A33" t="s">
        <v>1241</v>
      </c>
      <c r="B33" s="42">
        <f>INDEX(Összesítő!AB:AB,MATCH(PANEL!$B$6,Összesítő!U:U,0))</f>
        <v>0</v>
      </c>
    </row>
    <row r="34" spans="1:2" x14ac:dyDescent="0.25">
      <c r="A34" t="s">
        <v>1249</v>
      </c>
      <c r="B34" s="42">
        <f>INDEX(Összesítő!AC:AC,MATCH(PANEL!$B$6,Összesítő!U:U,0))</f>
        <v>0</v>
      </c>
    </row>
    <row r="35" spans="1:2" x14ac:dyDescent="0.25">
      <c r="A35" t="s">
        <v>1242</v>
      </c>
      <c r="B35" s="42" t="str">
        <f>INDEX(Összesítő!AD:AD,MATCH(PANEL!$B$6,Összesítő!U:U,0))</f>
        <v/>
      </c>
    </row>
    <row r="36" spans="1:2" x14ac:dyDescent="0.25">
      <c r="A36" t="s">
        <v>1243</v>
      </c>
      <c r="B36" s="42" t="str">
        <f>INDEX(Összesítő!AE:AE,MATCH(PANEL!$B$6,Összesítő!U:U,0))</f>
        <v/>
      </c>
    </row>
    <row r="37" spans="1:2" x14ac:dyDescent="0.25">
      <c r="A37" t="s">
        <v>1244</v>
      </c>
      <c r="B37" s="42" t="str">
        <f>INDEX(Összesítő!AF:AF,MATCH(PANEL!$B$6,Összesítő!U:U,0))</f>
        <v/>
      </c>
    </row>
    <row r="38" spans="1:2" x14ac:dyDescent="0.25">
      <c r="A38" t="s">
        <v>1245</v>
      </c>
      <c r="B38" s="42" t="str">
        <f>INDEX(Összesítő!AG:AG,MATCH(PANEL!$B$6,Összesítő!U:U,0))</f>
        <v/>
      </c>
    </row>
    <row r="39" spans="1:2" x14ac:dyDescent="0.25">
      <c r="A39" t="s">
        <v>1250</v>
      </c>
      <c r="B39" s="42" t="str">
        <f>IFERROR(INDEX(Összesítő!AH:AH,MATCH(PANEL!$B$6,Összesítő!U:U,0)),"./")</f>
        <v>c:\suncollector\word_automation\cég2\1-cég2-2023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12"/>
  <sheetViews>
    <sheetView workbookViewId="0">
      <selection activeCell="E2" sqref="E2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1251</v>
      </c>
      <c r="B2" s="4" t="s">
        <v>1252</v>
      </c>
      <c r="C2" s="4" t="s">
        <v>1253</v>
      </c>
      <c r="D2" s="4" t="s">
        <v>1254</v>
      </c>
      <c r="E2" s="4" t="s">
        <v>1255</v>
      </c>
      <c r="F2" s="4" t="s">
        <v>1256</v>
      </c>
      <c r="G2" s="4" t="s">
        <v>1257</v>
      </c>
      <c r="H2" s="4" t="s">
        <v>1254</v>
      </c>
      <c r="I2" s="4" t="s">
        <v>1258</v>
      </c>
      <c r="J2" s="4" t="s">
        <v>1259</v>
      </c>
      <c r="K2" s="4" t="s">
        <v>1260</v>
      </c>
      <c r="L2" s="4" t="s">
        <v>1261</v>
      </c>
      <c r="M2" s="4" t="s">
        <v>1262</v>
      </c>
      <c r="N2" s="4" t="s">
        <v>1263</v>
      </c>
      <c r="O2" s="4" t="s">
        <v>1264</v>
      </c>
      <c r="P2" s="4" t="s">
        <v>1265</v>
      </c>
      <c r="Q2" s="4" t="s">
        <v>1266</v>
      </c>
      <c r="R2" s="4" t="s">
        <v>1265</v>
      </c>
      <c r="S2" s="4" t="s">
        <v>1265</v>
      </c>
      <c r="T2" s="4" t="s">
        <v>1265</v>
      </c>
      <c r="U2" s="9" t="s">
        <v>1267</v>
      </c>
      <c r="V2" s="9" t="s">
        <v>1265</v>
      </c>
      <c r="W2" s="9" t="s">
        <v>1265</v>
      </c>
      <c r="X2" s="9" t="s">
        <v>1265</v>
      </c>
      <c r="Y2" s="9" t="s">
        <v>1265</v>
      </c>
      <c r="Z2" s="9" t="s">
        <v>1265</v>
      </c>
      <c r="AA2" s="9" t="s">
        <v>1265</v>
      </c>
      <c r="AB2" s="6"/>
      <c r="AC2" s="6"/>
    </row>
    <row r="3" spans="1:29" x14ac:dyDescent="0.25">
      <c r="A3" s="4"/>
      <c r="B3" s="4"/>
      <c r="C3" s="4"/>
      <c r="D3" s="4"/>
      <c r="E3" s="4"/>
      <c r="F3" s="4"/>
      <c r="G3" s="4"/>
      <c r="H3" s="5"/>
      <c r="I3" s="4"/>
      <c r="J3" s="6"/>
      <c r="K3" s="5"/>
      <c r="L3" s="7"/>
      <c r="M3" s="7"/>
      <c r="N3" s="6"/>
      <c r="O3" s="4"/>
      <c r="P3" s="6"/>
      <c r="Q3" s="6"/>
      <c r="R3" s="8"/>
      <c r="S3" s="6"/>
      <c r="T3" s="4"/>
      <c r="U3" s="9"/>
      <c r="V3" s="9"/>
      <c r="W3" s="9"/>
      <c r="X3" s="9"/>
      <c r="Y3" s="9"/>
      <c r="Z3" s="9"/>
      <c r="AA3" s="9"/>
      <c r="AB3" s="6"/>
      <c r="AC3" s="6"/>
    </row>
    <row r="4" spans="1:29" x14ac:dyDescent="0.25">
      <c r="A4" s="4"/>
      <c r="B4" s="4"/>
      <c r="C4" s="4"/>
      <c r="D4" s="4"/>
      <c r="E4" s="4"/>
      <c r="F4" s="4"/>
      <c r="G4" s="4"/>
      <c r="H4" s="5"/>
      <c r="I4" s="4"/>
      <c r="J4" s="36"/>
      <c r="K4" s="5"/>
      <c r="L4" s="37"/>
      <c r="N4" s="36"/>
      <c r="O4" s="4"/>
      <c r="P4" s="36"/>
      <c r="Q4" s="36"/>
      <c r="R4" s="38"/>
      <c r="S4" s="36"/>
      <c r="T4" s="4"/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/>
      <c r="B5" s="4"/>
      <c r="C5" s="4"/>
      <c r="D5" s="4"/>
      <c r="E5" s="4"/>
      <c r="F5" s="4"/>
      <c r="G5" s="4"/>
      <c r="H5" s="5"/>
      <c r="I5" s="4"/>
      <c r="J5" s="6"/>
      <c r="K5" s="5"/>
      <c r="L5" s="7"/>
      <c r="N5" s="6"/>
      <c r="O5" s="4"/>
      <c r="P5" s="6"/>
      <c r="Q5" s="6"/>
      <c r="R5" s="8"/>
      <c r="S5" s="6"/>
      <c r="T5" s="4"/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/>
      <c r="B6" s="4"/>
      <c r="C6" s="4"/>
      <c r="D6" s="4"/>
      <c r="E6" s="4"/>
      <c r="F6" s="4"/>
      <c r="G6" s="4"/>
      <c r="H6" s="5"/>
      <c r="I6" s="4"/>
      <c r="J6" s="6"/>
      <c r="K6" s="5"/>
      <c r="L6" s="7"/>
      <c r="N6" s="6"/>
      <c r="O6" s="4"/>
      <c r="P6" s="6"/>
      <c r="Q6" s="6"/>
      <c r="R6" s="8"/>
      <c r="S6" s="6"/>
      <c r="T6" s="4"/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/>
      <c r="B7" s="4"/>
      <c r="C7" s="4"/>
      <c r="D7" s="4"/>
      <c r="E7" s="4"/>
      <c r="F7" s="4"/>
      <c r="G7" s="4"/>
      <c r="H7" s="5"/>
      <c r="I7" s="4"/>
      <c r="J7" s="6"/>
      <c r="K7" s="5"/>
      <c r="L7" s="7"/>
      <c r="N7" s="6"/>
      <c r="O7" s="4"/>
      <c r="P7" s="6"/>
      <c r="Q7" s="6"/>
      <c r="R7" s="8"/>
      <c r="S7" s="6"/>
      <c r="T7" s="4"/>
      <c r="U7" s="6"/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/>
      <c r="B8" s="4"/>
      <c r="C8" s="4"/>
      <c r="D8" s="4"/>
      <c r="E8" s="4"/>
      <c r="F8" s="4"/>
      <c r="G8" s="4"/>
      <c r="H8" s="5"/>
      <c r="I8" s="4"/>
      <c r="J8" s="6"/>
      <c r="K8" s="5"/>
      <c r="L8" s="7"/>
      <c r="N8" s="6"/>
      <c r="O8" s="4"/>
      <c r="P8" s="6"/>
      <c r="Q8" s="6"/>
      <c r="R8" s="8"/>
      <c r="S8" s="6"/>
      <c r="T8" s="4"/>
      <c r="U8" s="6"/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/>
      <c r="B9" s="4"/>
      <c r="C9" s="4"/>
      <c r="D9" s="4"/>
      <c r="E9" s="4"/>
      <c r="F9" s="4"/>
      <c r="G9" s="4"/>
      <c r="H9" s="5"/>
      <c r="I9" s="4"/>
      <c r="J9" s="6"/>
      <c r="K9" s="5"/>
      <c r="L9" s="7"/>
      <c r="N9" s="6"/>
      <c r="O9" s="4"/>
      <c r="P9" s="6"/>
      <c r="Q9" s="6"/>
      <c r="R9" s="8"/>
      <c r="S9" s="6"/>
      <c r="T9" s="4"/>
      <c r="U9" s="6"/>
      <c r="V9" s="6"/>
      <c r="W9" s="6"/>
      <c r="X9" s="6"/>
      <c r="Y9" s="6"/>
      <c r="Z9" s="6"/>
      <c r="AA9" s="6"/>
      <c r="AB9" s="6"/>
      <c r="AC9" s="6"/>
    </row>
    <row r="10" spans="1:29" x14ac:dyDescent="0.25">
      <c r="A10" s="4"/>
      <c r="B10" s="4"/>
      <c r="C10" s="4"/>
      <c r="D10" s="4"/>
      <c r="E10" s="4"/>
      <c r="F10" s="4"/>
      <c r="G10" s="4"/>
      <c r="H10" s="5"/>
      <c r="I10" s="4"/>
      <c r="J10" s="6"/>
      <c r="K10" s="5"/>
      <c r="L10" s="7"/>
      <c r="N10" s="6"/>
      <c r="O10" s="4"/>
      <c r="P10" s="6"/>
      <c r="Q10" s="6"/>
      <c r="R10" s="8"/>
      <c r="S10" s="6"/>
      <c r="T10" s="4"/>
      <c r="U10" s="6"/>
      <c r="V10" s="6"/>
      <c r="W10" s="6"/>
      <c r="X10" s="6"/>
      <c r="Y10" s="6"/>
      <c r="Z10" s="6"/>
      <c r="AA10" s="6"/>
      <c r="AB10" s="6"/>
      <c r="AC10" s="6"/>
    </row>
    <row r="11" spans="1:29" x14ac:dyDescent="0.25">
      <c r="A11" s="4"/>
      <c r="B11" s="4"/>
      <c r="C11" s="4"/>
      <c r="D11" s="4"/>
      <c r="E11" s="4"/>
      <c r="F11" s="4"/>
      <c r="G11" s="4"/>
      <c r="H11" s="5"/>
      <c r="I11" s="4"/>
      <c r="J11" s="6"/>
      <c r="K11" s="5"/>
      <c r="L11" s="7"/>
      <c r="N11" s="6"/>
      <c r="O11" s="4"/>
      <c r="P11" s="6"/>
      <c r="Q11" s="6"/>
      <c r="R11" s="8"/>
      <c r="S11" s="6"/>
      <c r="T11" s="4"/>
      <c r="U11" s="6"/>
      <c r="V11" s="6"/>
      <c r="W11" s="6"/>
      <c r="X11" s="6"/>
      <c r="Y11" s="6"/>
      <c r="Z11" s="6"/>
      <c r="AA11" s="6"/>
      <c r="AB11" s="6"/>
      <c r="AC11" s="6"/>
    </row>
    <row r="12" spans="1:29" x14ac:dyDescent="0.25">
      <c r="A12" s="4"/>
      <c r="B12" s="4"/>
      <c r="C12" s="4"/>
      <c r="D12" s="4"/>
      <c r="E12" s="4"/>
      <c r="F12" s="4"/>
      <c r="G12" s="4"/>
      <c r="H12" s="5"/>
      <c r="I12" s="4"/>
      <c r="J12" s="36"/>
      <c r="K12" s="5"/>
      <c r="L12" s="37"/>
      <c r="N12" s="36"/>
      <c r="O12" s="4"/>
      <c r="P12" s="36"/>
      <c r="Q12" s="36"/>
      <c r="R12" s="38"/>
      <c r="S12" s="36"/>
      <c r="T12" s="4"/>
      <c r="U12" s="36"/>
      <c r="V12" s="36"/>
      <c r="W12" s="36"/>
      <c r="X12" s="36"/>
      <c r="Y12" s="36"/>
      <c r="Z12" s="36"/>
      <c r="AA12" s="36"/>
      <c r="AB12" s="36"/>
      <c r="AC12" s="3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H27"/>
  <sheetViews>
    <sheetView zoomScaleNormal="100" workbookViewId="0">
      <selection activeCell="K2" sqref="K2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1246</v>
      </c>
      <c r="Z1" s="3" t="s">
        <v>50</v>
      </c>
      <c r="AA1" s="10" t="s">
        <v>51</v>
      </c>
      <c r="AB1" s="10" t="s">
        <v>41</v>
      </c>
      <c r="AC1" s="10" t="s">
        <v>1247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1248</v>
      </c>
    </row>
    <row r="2" spans="1:34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tr">
        <f>IFERROR(INDEX(Magánszemély!S:S,MATCH(Táblázat4[[#This Row],[IKTATÓ]],Magánszemély!U:U,0)),IFERROR(INDEX('Jogi személy'!T:T,MATCH(Táblázat4[[#This Row],[IKTATÓ]],'Jogi személy'!V:V,0)),""))</f>
        <v>teszt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1267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1268</v>
      </c>
    </row>
    <row r="4" spans="1:34" x14ac:dyDescent="0.25">
      <c r="Y4" t="str">
        <f>IFERROR(INDEX(Magánszemély!Y:Y,MATCH(Táblázat4[[#This Row],[IKTATÓ]],Magánszemély!U:U,0)),IFERROR(INDEX('Jogi személy'!Z:Z,MATCH(Táblázat4[[#This Row],[IKTATÓ]],'Jogi személy'!V:V,0)),""))</f>
        <v/>
      </c>
    </row>
    <row r="5" spans="1:34" x14ac:dyDescent="0.25">
      <c r="Y5" t="str">
        <f>IFERROR(INDEX(Magánszemély!Y:Y,MATCH(Táblázat4[[#This Row],[IKTATÓ]],Magánszemély!U:U,0)),IFERROR(INDEX('Jogi személy'!Z:Z,MATCH(Táblázat4[[#This Row],[IKTATÓ]],'Jogi személy'!V:V,0)),""))</f>
        <v/>
      </c>
    </row>
    <row r="6" spans="1:34" x14ac:dyDescent="0.25">
      <c r="Y6" t="str">
        <f>IFERROR(INDEX(Magánszemély!Y:Y,MATCH(Táblázat4[[#This Row],[IKTATÓ]],Magánszemély!U:U,0)),IFERROR(INDEX('Jogi személy'!Z:Z,MATCH(Táblázat4[[#This Row],[IKTATÓ]],'Jogi személy'!V:V,0)),""))</f>
        <v/>
      </c>
    </row>
    <row r="7" spans="1:34" ht="13.5" customHeight="1" x14ac:dyDescent="0.25">
      <c r="Y7" t="str">
        <f>IFERROR(INDEX(Magánszemély!Y:Y,MATCH(Táblázat4[[#This Row],[IKTATÓ]],Magánszemély!U:U,0)),IFERROR(INDEX('Jogi személy'!Z:Z,MATCH(Táblázat4[[#This Row],[IKTATÓ]],'Jogi személy'!V:V,0)),""))</f>
        <v/>
      </c>
    </row>
    <row r="8" spans="1:34" x14ac:dyDescent="0.25">
      <c r="Y8" t="str">
        <f>IFERROR(INDEX(Magánszemély!Y:Y,MATCH(Táblázat4[[#This Row],[IKTATÓ]],Magánszemély!U:U,0)),IFERROR(INDEX('Jogi személy'!Z:Z,MATCH(Táblázat4[[#This Row],[IKTATÓ]],'Jogi személy'!V:V,0)),""))</f>
        <v/>
      </c>
    </row>
    <row r="9" spans="1:34" x14ac:dyDescent="0.25">
      <c r="U9" s="35"/>
      <c r="Y9" t="str">
        <f>IFERROR(INDEX(Magánszemély!Y:Y,MATCH(Táblázat4[[#This Row],[IKTATÓ]],Magánszemély!U:U,0)),IFERROR(INDEX('Jogi személy'!Z:Z,MATCH(Táblázat4[[#This Row],[IKTATÓ]],'Jogi személy'!V:V,0)),""))</f>
        <v/>
      </c>
    </row>
    <row r="10" spans="1:34" x14ac:dyDescent="0.25">
      <c r="U10" s="35"/>
      <c r="Y10" t="str">
        <f>IFERROR(INDEX(Magánszemély!Y:Y,MATCH(Táblázat4[[#This Row],[IKTATÓ]],Magánszemély!U:U,0)),IFERROR(INDEX('Jogi személy'!Z:Z,MATCH(Táblázat4[[#This Row],[IKTATÓ]],'Jogi személy'!V:V,0)),""))</f>
        <v/>
      </c>
    </row>
    <row r="11" spans="1:34" x14ac:dyDescent="0.25">
      <c r="U11" s="35"/>
      <c r="Y11" t="str">
        <f>IFERROR(INDEX(Magánszemély!Y:Y,MATCH(Táblázat4[[#This Row],[IKTATÓ]],Magánszemély!U:U,0)),IFERROR(INDEX('Jogi személy'!Z:Z,MATCH(Táblázat4[[#This Row],[IKTATÓ]],'Jogi személy'!V:V,0)),""))</f>
        <v/>
      </c>
    </row>
    <row r="12" spans="1:34" x14ac:dyDescent="0.25">
      <c r="U12" s="35"/>
      <c r="Y12" t="str">
        <f>IFERROR(INDEX(Magánszemély!Y:Y,MATCH(Táblázat4[[#This Row],[IKTATÓ]],Magánszemély!U:U,0)),IFERROR(INDEX('Jogi személy'!Z:Z,MATCH(Táblázat4[[#This Row],[IKTATÓ]],'Jogi személy'!V:V,0)),""))</f>
        <v/>
      </c>
    </row>
    <row r="13" spans="1:34" x14ac:dyDescent="0.25">
      <c r="U13" s="35"/>
      <c r="Y13" t="str">
        <f>IFERROR(INDEX(Magánszemély!Y:Y,MATCH(Táblázat4[[#This Row],[IKTATÓ]],Magánszemély!U:U,0)),IFERROR(INDEX('Jogi személy'!Z:Z,MATCH(Táblázat4[[#This Row],[IKTATÓ]],'Jogi személy'!V:V,0)),""))</f>
        <v/>
      </c>
    </row>
    <row r="14" spans="1:34" x14ac:dyDescent="0.25">
      <c r="U14" s="35"/>
      <c r="Y14" t="str">
        <f>IFERROR(INDEX(Magánszemély!Y:Y,MATCH(Táblázat4[[#This Row],[IKTATÓ]],Magánszemély!U:U,0)),IFERROR(INDEX('Jogi személy'!Z:Z,MATCH(Táblázat4[[#This Row],[IKTATÓ]],'Jogi személy'!V:V,0)),""))</f>
        <v/>
      </c>
    </row>
    <row r="15" spans="1:34" x14ac:dyDescent="0.25">
      <c r="U15" s="35"/>
      <c r="Y15" t="str">
        <f>IFERROR(INDEX(Magánszemély!Y:Y,MATCH(Táblázat4[[#This Row],[IKTATÓ]],Magánszemély!U:U,0)),IFERROR(INDEX('Jogi személy'!Z:Z,MATCH(Táblázat4[[#This Row],[IKTATÓ]],'Jogi személy'!V:V,0)),""))</f>
        <v/>
      </c>
    </row>
    <row r="16" spans="1:34" x14ac:dyDescent="0.25">
      <c r="U16" s="35"/>
      <c r="Y16" t="str">
        <f>IFERROR(INDEX(Magánszemély!Y:Y,MATCH(Táblázat4[[#This Row],[IKTATÓ]],Magánszemély!U:U,0)),IFERROR(INDEX('Jogi személy'!Z:Z,MATCH(Táblázat4[[#This Row],[IKTATÓ]],'Jogi személy'!V:V,0)),""))</f>
        <v/>
      </c>
    </row>
    <row r="17" spans="5:29" x14ac:dyDescent="0.25">
      <c r="U17" s="35"/>
      <c r="Y17" t="str">
        <f>IFERROR(INDEX(Magánszemély!Y:Y,MATCH(Táblázat4[[#This Row],[IKTATÓ]],Magánszemély!U:U,0)),IFERROR(INDEX('Jogi személy'!Z:Z,MATCH(Táblázat4[[#This Row],[IKTATÓ]],'Jogi személy'!V:V,0)),""))</f>
        <v/>
      </c>
    </row>
    <row r="18" spans="5:29" x14ac:dyDescent="0.25">
      <c r="U18" s="35"/>
      <c r="Y18" t="str">
        <f>IFERROR(INDEX(Magánszemély!Y:Y,MATCH(Táblázat4[[#This Row],[IKTATÓ]],Magánszemély!U:U,0)),IFERROR(INDEX('Jogi személy'!Z:Z,MATCH(Táblázat4[[#This Row],[IKTATÓ]],'Jogi személy'!V:V,0)),""))</f>
        <v/>
      </c>
    </row>
    <row r="19" spans="5:29" x14ac:dyDescent="0.25">
      <c r="U19" s="35"/>
      <c r="Y19" t="str">
        <f>IFERROR(INDEX(Magánszemély!Y:Y,MATCH(Táblázat4[[#This Row],[IKTATÓ]],Magánszemély!U:U,0)),IFERROR(INDEX('Jogi személy'!Z:Z,MATCH(Táblázat4[[#This Row],[IKTATÓ]],'Jogi személy'!V:V,0)),""))</f>
        <v/>
      </c>
    </row>
    <row r="20" spans="5:29" x14ac:dyDescent="0.25">
      <c r="U20" s="35"/>
      <c r="Y20" t="str">
        <f>IFERROR(INDEX(Magánszemély!Y:Y,MATCH(Táblázat4[[#This Row],[IKTATÓ]],Magánszemély!U:U,0)),IFERROR(INDEX('Jogi személy'!Z:Z,MATCH(Táblázat4[[#This Row],[IKTATÓ]],'Jogi személy'!V:V,0)),""))</f>
        <v/>
      </c>
    </row>
    <row r="21" spans="5:29" x14ac:dyDescent="0.25">
      <c r="U21" s="35"/>
      <c r="Y21" t="str">
        <f>IFERROR(INDEX(Magánszemély!Y:Y,MATCH(Táblázat4[[#This Row],[IKTATÓ]],Magánszemély!U:U,0)),IFERROR(INDEX('Jogi személy'!Z:Z,MATCH(Táblázat4[[#This Row],[IKTATÓ]],'Jogi személy'!V:V,0)),""))</f>
        <v/>
      </c>
    </row>
    <row r="22" spans="5:29" x14ac:dyDescent="0.25">
      <c r="U22" s="35"/>
      <c r="Y22" t="str">
        <f>IFERROR(INDEX(Magánszemély!Y:Y,MATCH(Táblázat4[[#This Row],[IKTATÓ]],Magánszemély!U:U,0)),IFERROR(INDEX('Jogi személy'!Z:Z,MATCH(Táblázat4[[#This Row],[IKTATÓ]],'Jogi személy'!V:V,0)),""))</f>
        <v/>
      </c>
    </row>
    <row r="23" spans="5:29" x14ac:dyDescent="0.25">
      <c r="U23" s="35"/>
      <c r="Y23" t="str">
        <f>IFERROR(INDEX(Magánszemély!Y:Y,MATCH(Táblázat4[[#This Row],[IKTATÓ]],Magánszemély!U:U,0)),IFERROR(INDEX('Jogi személy'!Z:Z,MATCH(Táblázat4[[#This Row],[IKTATÓ]],'Jogi személy'!V:V,0)),""))</f>
        <v/>
      </c>
    </row>
    <row r="24" spans="5:29" x14ac:dyDescent="0.25">
      <c r="U24" s="35"/>
      <c r="Y24" t="str">
        <f>IFERROR(INDEX(Magánszemély!Y:Y,MATCH(Táblázat4[[#This Row],[IKTATÓ]],Magánszemély!U:U,0)),IFERROR(INDEX('Jogi személy'!Z:Z,MATCH(Táblázat4[[#This Row],[IKTATÓ]],'Jogi személy'!V:V,0)),""))</f>
        <v/>
      </c>
    </row>
    <row r="25" spans="5:29" x14ac:dyDescent="0.25">
      <c r="U25" s="35"/>
      <c r="Y25" t="str">
        <f>IFERROR(INDEX(Magánszemély!Y:Y,MATCH(Táblázat4[[#This Row],[IKTATÓ]],Magánszemély!U:U,0)),IFERROR(INDEX('Jogi személy'!Z:Z,MATCH(Táblázat4[[#This Row],[IKTATÓ]],'Jogi személy'!V:V,0)),""))</f>
        <v/>
      </c>
    </row>
    <row r="26" spans="5:29" x14ac:dyDescent="0.25">
      <c r="Y26" t="str">
        <f>IFERROR(INDEX(Magánszemély!Y:Y,MATCH(Táblázat4[[#This Row],[IKTATÓ]],Magánszemély!U:U,0)),IFERROR(INDEX('Jogi személy'!Z:Z,MATCH(Táblázat4[[#This Row],[IKTATÓ]],'Jogi személy'!V:V,0)),""))</f>
        <v/>
      </c>
    </row>
    <row r="27" spans="5:29" x14ac:dyDescent="0.25">
      <c r="E27" s="46"/>
      <c r="G27" s="46"/>
      <c r="H27" s="46"/>
      <c r="I27" s="46"/>
      <c r="J27" s="46"/>
      <c r="K27" s="46"/>
      <c r="S27" s="46"/>
      <c r="U27" s="35"/>
      <c r="V27" s="46"/>
      <c r="W27" s="46"/>
      <c r="Y27" s="46" t="str">
        <f>IFERROR(INDEX(Magánszemély!Y:Y,MATCH(Táblázat4[[#This Row],[IKTATÓ]],Magánszemély!U:U,0)),IFERROR(INDEX('Jogi személy'!Z:Z,MATCH(Táblázat4[[#This Row],[IKTATÓ]],'Jogi személy'!V:V,0)),""))</f>
        <v/>
      </c>
      <c r="Z27" s="46"/>
      <c r="AA27" s="46"/>
      <c r="AB27" s="46"/>
      <c r="AC27" s="4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1"/>
  <dimension ref="A1:H1197"/>
  <sheetViews>
    <sheetView workbookViewId="0">
      <selection activeCell="G18" sqref="G18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Bertok, Peter</cp:lastModifiedBy>
  <dcterms:created xsi:type="dcterms:W3CDTF">2015-01-25T11:31:25Z</dcterms:created>
  <dcterms:modified xsi:type="dcterms:W3CDTF">2023-05-02T06:48:28Z</dcterms:modified>
  <cp:category/>
  <cp:contentStatus/>
</cp:coreProperties>
</file>